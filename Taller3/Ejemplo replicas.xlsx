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DE2A7D0-0B8E-4AB0-A6A4-BDB61DB2AED7}" xr6:coauthVersionLast="36" xr6:coauthVersionMax="36" xr10:uidLastSave="{00000000-0000-0000-0000-000000000000}"/>
  <bookViews>
    <workbookView xWindow="0" yWindow="0" windowWidth="20400" windowHeight="7545" activeTab="1" xr2:uid="{22A996FF-C5A6-4015-B777-10EC76DA105D}"/>
  </bookViews>
  <sheets>
    <sheet name="generador de Ri" sheetId="7" r:id="rId1"/>
    <sheet name="Replicas" sheetId="6" r:id="rId2"/>
  </sheets>
  <definedNames>
    <definedName name="CAJA_ESPECIALL">#REF!</definedName>
    <definedName name="Simulacion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6" l="1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F16" i="6" s="1"/>
  <c r="E18" i="7"/>
  <c r="F18" i="7" s="1"/>
  <c r="G18" i="7" s="1"/>
  <c r="E19" i="7" s="1"/>
  <c r="E15" i="7"/>
  <c r="H10" i="7"/>
  <c r="H7" i="7"/>
  <c r="G7" i="7"/>
  <c r="F7" i="7" s="1"/>
  <c r="E7" i="7"/>
  <c r="H16" i="6" l="1"/>
  <c r="G17" i="6" s="1"/>
  <c r="O55" i="6" s="1"/>
  <c r="F17" i="6"/>
  <c r="H17" i="6" s="1"/>
  <c r="G18" i="6" s="1"/>
  <c r="H18" i="7"/>
  <c r="F19" i="7"/>
  <c r="G19" i="7" s="1"/>
  <c r="H19" i="7" s="1"/>
  <c r="E39" i="6"/>
  <c r="F18" i="6" l="1"/>
  <c r="F19" i="6" s="1"/>
  <c r="E20" i="7"/>
  <c r="F20" i="7" s="1"/>
  <c r="G20" i="7" s="1"/>
  <c r="H20" i="7" s="1"/>
  <c r="H18" i="6" l="1"/>
  <c r="G19" i="6" s="1"/>
  <c r="F20" i="6"/>
  <c r="H19" i="6"/>
  <c r="G20" i="6" s="1"/>
  <c r="E21" i="7"/>
  <c r="F21" i="6" l="1"/>
  <c r="H20" i="6"/>
  <c r="G21" i="6" s="1"/>
  <c r="F21" i="7"/>
  <c r="G21" i="7" s="1"/>
  <c r="H21" i="7" s="1"/>
  <c r="F22" i="6" l="1"/>
  <c r="H21" i="6"/>
  <c r="G22" i="6" s="1"/>
  <c r="E22" i="7"/>
  <c r="H22" i="6" l="1"/>
  <c r="G23" i="6" s="1"/>
  <c r="F23" i="6"/>
  <c r="F22" i="7"/>
  <c r="G22" i="7" s="1"/>
  <c r="H22" i="7" s="1"/>
  <c r="F24" i="6" l="1"/>
  <c r="H23" i="6"/>
  <c r="G24" i="6" s="1"/>
  <c r="O72" i="6"/>
  <c r="O25" i="6"/>
  <c r="O100" i="6"/>
  <c r="O85" i="6"/>
  <c r="O87" i="6"/>
  <c r="O31" i="6"/>
  <c r="O70" i="6"/>
  <c r="O40" i="6"/>
  <c r="O124" i="6"/>
  <c r="O75" i="6"/>
  <c r="O60" i="6"/>
  <c r="O43" i="6"/>
  <c r="O34" i="6"/>
  <c r="O17" i="6"/>
  <c r="O133" i="6"/>
  <c r="O118" i="6"/>
  <c r="O69" i="6"/>
  <c r="O54" i="6"/>
  <c r="O32" i="6"/>
  <c r="O106" i="6"/>
  <c r="O89" i="6"/>
  <c r="O74" i="6"/>
  <c r="O57" i="6"/>
  <c r="O42" i="6"/>
  <c r="O134" i="6"/>
  <c r="O98" i="6"/>
  <c r="O122" i="6"/>
  <c r="O105" i="6"/>
  <c r="O90" i="6"/>
  <c r="O73" i="6"/>
  <c r="O58" i="6"/>
  <c r="O41" i="6"/>
  <c r="O131" i="6"/>
  <c r="O116" i="6"/>
  <c r="O99" i="6"/>
  <c r="O84" i="6"/>
  <c r="O67" i="6"/>
  <c r="O52" i="6"/>
  <c r="O30" i="6"/>
  <c r="O127" i="6"/>
  <c r="O112" i="6"/>
  <c r="O80" i="6"/>
  <c r="O63" i="6"/>
  <c r="O48" i="6"/>
  <c r="O37" i="6"/>
  <c r="O22" i="6"/>
  <c r="O119" i="6"/>
  <c r="O53" i="6"/>
  <c r="O128" i="6"/>
  <c r="O111" i="6"/>
  <c r="O79" i="6"/>
  <c r="O64" i="6"/>
  <c r="O47" i="6"/>
  <c r="O38" i="6"/>
  <c r="O21" i="6"/>
  <c r="O117" i="6"/>
  <c r="O114" i="6"/>
  <c r="O97" i="6"/>
  <c r="O65" i="6"/>
  <c r="O125" i="6"/>
  <c r="O110" i="6"/>
  <c r="O93" i="6"/>
  <c r="O78" i="6"/>
  <c r="O61" i="6"/>
  <c r="O35" i="6"/>
  <c r="O20" i="6"/>
  <c r="O115" i="6"/>
  <c r="O68" i="6"/>
  <c r="O126" i="6"/>
  <c r="O109" i="6"/>
  <c r="O94" i="6"/>
  <c r="O77" i="6"/>
  <c r="O62" i="6"/>
  <c r="O36" i="6"/>
  <c r="O135" i="6"/>
  <c r="O120" i="6"/>
  <c r="O103" i="6"/>
  <c r="O71" i="6"/>
  <c r="O56" i="6"/>
  <c r="O39" i="6"/>
  <c r="O26" i="6"/>
  <c r="O123" i="6"/>
  <c r="O108" i="6"/>
  <c r="O76" i="6"/>
  <c r="O59" i="6"/>
  <c r="O44" i="6"/>
  <c r="O33" i="6"/>
  <c r="O18" i="6"/>
  <c r="O51" i="6"/>
  <c r="O83" i="6"/>
  <c r="E23" i="7"/>
  <c r="Q56" i="6" l="1"/>
  <c r="Q72" i="6"/>
  <c r="Q32" i="6"/>
  <c r="F25" i="6"/>
  <c r="H24" i="6"/>
  <c r="G25" i="6" s="1"/>
  <c r="F23" i="7"/>
  <c r="G23" i="7" s="1"/>
  <c r="H23" i="7" s="1"/>
  <c r="F26" i="6" l="1"/>
  <c r="H25" i="6"/>
  <c r="G26" i="6" s="1"/>
  <c r="E24" i="7"/>
  <c r="O29" i="6" l="1"/>
  <c r="O92" i="6"/>
  <c r="O101" i="6"/>
  <c r="O24" i="6"/>
  <c r="O81" i="6"/>
  <c r="O129" i="6"/>
  <c r="O46" i="6"/>
  <c r="O91" i="6"/>
  <c r="O49" i="6"/>
  <c r="O86" i="6"/>
  <c r="O132" i="6"/>
  <c r="O95" i="6"/>
  <c r="O96" i="6"/>
  <c r="O50" i="6"/>
  <c r="O19" i="6"/>
  <c r="O88" i="6"/>
  <c r="Q88" i="6" s="1"/>
  <c r="O102" i="6"/>
  <c r="O121" i="6"/>
  <c r="Q120" i="6" s="1"/>
  <c r="O66" i="6"/>
  <c r="Q64" i="6" s="1"/>
  <c r="O23" i="6"/>
  <c r="O113" i="6"/>
  <c r="Q112" i="6" s="1"/>
  <c r="O28" i="6"/>
  <c r="O27" i="6"/>
  <c r="O107" i="6"/>
  <c r="O130" i="6"/>
  <c r="O82" i="6"/>
  <c r="O45" i="6"/>
  <c r="Q40" i="6" s="1"/>
  <c r="F27" i="6"/>
  <c r="H26" i="6"/>
  <c r="G27" i="6" s="1"/>
  <c r="O104" i="6" s="1"/>
  <c r="F24" i="7"/>
  <c r="G24" i="7" s="1"/>
  <c r="H24" i="7" s="1"/>
  <c r="ER19" i="6" l="1"/>
  <c r="ER23" i="6"/>
  <c r="ER27" i="6"/>
  <c r="ER31" i="6"/>
  <c r="ER35" i="6"/>
  <c r="ER39" i="6"/>
  <c r="ER43" i="6"/>
  <c r="ER47" i="6"/>
  <c r="ER51" i="6"/>
  <c r="ER55" i="6"/>
  <c r="ER59" i="6"/>
  <c r="ER63" i="6"/>
  <c r="ER67" i="6"/>
  <c r="ER71" i="6"/>
  <c r="ER75" i="6"/>
  <c r="ER79" i="6"/>
  <c r="ER83" i="6"/>
  <c r="ER87" i="6"/>
  <c r="ER91" i="6"/>
  <c r="ER95" i="6"/>
  <c r="ER99" i="6"/>
  <c r="ER103" i="6"/>
  <c r="ER107" i="6"/>
  <c r="ER111" i="6"/>
  <c r="ER115" i="6"/>
  <c r="ER119" i="6"/>
  <c r="ER123" i="6"/>
  <c r="ER127" i="6"/>
  <c r="ER131" i="6"/>
  <c r="ER135" i="6"/>
  <c r="EK17" i="6"/>
  <c r="EK21" i="6"/>
  <c r="EK25" i="6"/>
  <c r="EK29" i="6"/>
  <c r="EK33" i="6"/>
  <c r="EK37" i="6"/>
  <c r="EK41" i="6"/>
  <c r="EK45" i="6"/>
  <c r="EK49" i="6"/>
  <c r="EK53" i="6"/>
  <c r="EK57" i="6"/>
  <c r="EK61" i="6"/>
  <c r="EK65" i="6"/>
  <c r="EK69" i="6"/>
  <c r="EK73" i="6"/>
  <c r="EK77" i="6"/>
  <c r="EK81" i="6"/>
  <c r="EK85" i="6"/>
  <c r="EK89" i="6"/>
  <c r="EK93" i="6"/>
  <c r="EK97" i="6"/>
  <c r="EK101" i="6"/>
  <c r="EK105" i="6"/>
  <c r="EK109" i="6"/>
  <c r="EK113" i="6"/>
  <c r="EK117" i="6"/>
  <c r="EK121" i="6"/>
  <c r="EK125" i="6"/>
  <c r="EK129" i="6"/>
  <c r="EK133" i="6"/>
  <c r="ED19" i="6"/>
  <c r="ED23" i="6"/>
  <c r="ED27" i="6"/>
  <c r="ED31" i="6"/>
  <c r="ED35" i="6"/>
  <c r="ED39" i="6"/>
  <c r="ED43" i="6"/>
  <c r="ED47" i="6"/>
  <c r="ED51" i="6"/>
  <c r="ED55" i="6"/>
  <c r="ED59" i="6"/>
  <c r="ED63" i="6"/>
  <c r="ED67" i="6"/>
  <c r="ED71" i="6"/>
  <c r="ED75" i="6"/>
  <c r="ED79" i="6"/>
  <c r="ED83" i="6"/>
  <c r="ED87" i="6"/>
  <c r="ED91" i="6"/>
  <c r="ED95" i="6"/>
  <c r="ED99" i="6"/>
  <c r="ED103" i="6"/>
  <c r="ED107" i="6"/>
  <c r="ER20" i="6"/>
  <c r="ER24" i="6"/>
  <c r="ER28" i="6"/>
  <c r="ER17" i="6"/>
  <c r="ER21" i="6"/>
  <c r="ER25" i="6"/>
  <c r="ER29" i="6"/>
  <c r="ER33" i="6"/>
  <c r="ER37" i="6"/>
  <c r="ER41" i="6"/>
  <c r="ER45" i="6"/>
  <c r="ER49" i="6"/>
  <c r="ER53" i="6"/>
  <c r="ER57" i="6"/>
  <c r="ER61" i="6"/>
  <c r="ER65" i="6"/>
  <c r="ER69" i="6"/>
  <c r="ER73" i="6"/>
  <c r="ER77" i="6"/>
  <c r="ER81" i="6"/>
  <c r="ER85" i="6"/>
  <c r="ER89" i="6"/>
  <c r="ER93" i="6"/>
  <c r="ER97" i="6"/>
  <c r="ER101" i="6"/>
  <c r="ER105" i="6"/>
  <c r="ER109" i="6"/>
  <c r="ER113" i="6"/>
  <c r="ER117" i="6"/>
  <c r="ER121" i="6"/>
  <c r="ER125" i="6"/>
  <c r="ER129" i="6"/>
  <c r="ER133" i="6"/>
  <c r="EK19" i="6"/>
  <c r="EK23" i="6"/>
  <c r="EK27" i="6"/>
  <c r="EK31" i="6"/>
  <c r="EK35" i="6"/>
  <c r="EK39" i="6"/>
  <c r="EK43" i="6"/>
  <c r="EK47" i="6"/>
  <c r="EK51" i="6"/>
  <c r="EK55" i="6"/>
  <c r="EK59" i="6"/>
  <c r="EK63" i="6"/>
  <c r="EK67" i="6"/>
  <c r="EK71" i="6"/>
  <c r="EK75" i="6"/>
  <c r="EK79" i="6"/>
  <c r="EK83" i="6"/>
  <c r="EK87" i="6"/>
  <c r="EK91" i="6"/>
  <c r="EK95" i="6"/>
  <c r="EK99" i="6"/>
  <c r="EK103" i="6"/>
  <c r="EK107" i="6"/>
  <c r="EK111" i="6"/>
  <c r="EK115" i="6"/>
  <c r="EK119" i="6"/>
  <c r="EK123" i="6"/>
  <c r="EK127" i="6"/>
  <c r="EK131" i="6"/>
  <c r="EK135" i="6"/>
  <c r="ED17" i="6"/>
  <c r="ED21" i="6"/>
  <c r="ED25" i="6"/>
  <c r="ED29" i="6"/>
  <c r="ED33" i="6"/>
  <c r="ED37" i="6"/>
  <c r="ED41" i="6"/>
  <c r="ED45" i="6"/>
  <c r="ED49" i="6"/>
  <c r="ED53" i="6"/>
  <c r="ED57" i="6"/>
  <c r="ED61" i="6"/>
  <c r="ED65" i="6"/>
  <c r="ED69" i="6"/>
  <c r="ED73" i="6"/>
  <c r="ED77" i="6"/>
  <c r="ED81" i="6"/>
  <c r="ED85" i="6"/>
  <c r="ED89" i="6"/>
  <c r="ED93" i="6"/>
  <c r="ED97" i="6"/>
  <c r="ED101" i="6"/>
  <c r="ED105" i="6"/>
  <c r="ED109" i="6"/>
  <c r="ER18" i="6"/>
  <c r="ER22" i="6"/>
  <c r="ER26" i="6"/>
  <c r="ER34" i="6"/>
  <c r="ER42" i="6"/>
  <c r="ER50" i="6"/>
  <c r="ER58" i="6"/>
  <c r="ER66" i="6"/>
  <c r="ER74" i="6"/>
  <c r="ER82" i="6"/>
  <c r="ER90" i="6"/>
  <c r="ER98" i="6"/>
  <c r="ER106" i="6"/>
  <c r="ER114" i="6"/>
  <c r="ER122" i="6"/>
  <c r="ER130" i="6"/>
  <c r="EK24" i="6"/>
  <c r="EK32" i="6"/>
  <c r="EK40" i="6"/>
  <c r="EK48" i="6"/>
  <c r="EK56" i="6"/>
  <c r="EK64" i="6"/>
  <c r="EK72" i="6"/>
  <c r="EK80" i="6"/>
  <c r="EK88" i="6"/>
  <c r="EK96" i="6"/>
  <c r="EK104" i="6"/>
  <c r="EK112" i="6"/>
  <c r="EK120" i="6"/>
  <c r="EK128" i="6"/>
  <c r="EK16" i="6"/>
  <c r="ED22" i="6"/>
  <c r="ED30" i="6"/>
  <c r="ED38" i="6"/>
  <c r="ED46" i="6"/>
  <c r="ED54" i="6"/>
  <c r="ED62" i="6"/>
  <c r="ED70" i="6"/>
  <c r="ED78" i="6"/>
  <c r="ED86" i="6"/>
  <c r="ED94" i="6"/>
  <c r="ED102" i="6"/>
  <c r="ED110" i="6"/>
  <c r="ED114" i="6"/>
  <c r="ED118" i="6"/>
  <c r="ED122" i="6"/>
  <c r="ED126" i="6"/>
  <c r="ED130" i="6"/>
  <c r="ED134" i="6"/>
  <c r="DW20" i="6"/>
  <c r="DW24" i="6"/>
  <c r="DW28" i="6"/>
  <c r="DW32" i="6"/>
  <c r="DW36" i="6"/>
  <c r="DW40" i="6"/>
  <c r="DW44" i="6"/>
  <c r="DW48" i="6"/>
  <c r="DW52" i="6"/>
  <c r="DW56" i="6"/>
  <c r="DW60" i="6"/>
  <c r="DW64" i="6"/>
  <c r="DW68" i="6"/>
  <c r="DW72" i="6"/>
  <c r="DW76" i="6"/>
  <c r="DW80" i="6"/>
  <c r="DW84" i="6"/>
  <c r="DW88" i="6"/>
  <c r="DW92" i="6"/>
  <c r="DW96" i="6"/>
  <c r="DW100" i="6"/>
  <c r="DW104" i="6"/>
  <c r="DW108" i="6"/>
  <c r="DW112" i="6"/>
  <c r="DW116" i="6"/>
  <c r="DW120" i="6"/>
  <c r="DW124" i="6"/>
  <c r="DW128" i="6"/>
  <c r="DW132" i="6"/>
  <c r="DW16" i="6"/>
  <c r="DP18" i="6"/>
  <c r="DP22" i="6"/>
  <c r="DP26" i="6"/>
  <c r="DP30" i="6"/>
  <c r="DP34" i="6"/>
  <c r="DP38" i="6"/>
  <c r="DP42" i="6"/>
  <c r="ER36" i="6"/>
  <c r="ER44" i="6"/>
  <c r="ER52" i="6"/>
  <c r="ER60" i="6"/>
  <c r="ER68" i="6"/>
  <c r="ER76" i="6"/>
  <c r="ER84" i="6"/>
  <c r="ER92" i="6"/>
  <c r="ER100" i="6"/>
  <c r="ER108" i="6"/>
  <c r="ER116" i="6"/>
  <c r="ER124" i="6"/>
  <c r="ER132" i="6"/>
  <c r="EK18" i="6"/>
  <c r="EK26" i="6"/>
  <c r="EK34" i="6"/>
  <c r="EK42" i="6"/>
  <c r="EK50" i="6"/>
  <c r="EK58" i="6"/>
  <c r="EK66" i="6"/>
  <c r="EK74" i="6"/>
  <c r="EK82" i="6"/>
  <c r="EK90" i="6"/>
  <c r="EK98" i="6"/>
  <c r="EK106" i="6"/>
  <c r="EK114" i="6"/>
  <c r="EK122" i="6"/>
  <c r="EK130" i="6"/>
  <c r="ED24" i="6"/>
  <c r="ED32" i="6"/>
  <c r="ED40" i="6"/>
  <c r="ED48" i="6"/>
  <c r="ED56" i="6"/>
  <c r="ED64" i="6"/>
  <c r="ED72" i="6"/>
  <c r="ED80" i="6"/>
  <c r="ED88" i="6"/>
  <c r="ED96" i="6"/>
  <c r="ED104" i="6"/>
  <c r="ED111" i="6"/>
  <c r="ED115" i="6"/>
  <c r="ED119" i="6"/>
  <c r="ED123" i="6"/>
  <c r="ED127" i="6"/>
  <c r="ED131" i="6"/>
  <c r="ED135" i="6"/>
  <c r="DW17" i="6"/>
  <c r="DW21" i="6"/>
  <c r="DW25" i="6"/>
  <c r="DW29" i="6"/>
  <c r="DW33" i="6"/>
  <c r="DW37" i="6"/>
  <c r="DW41" i="6"/>
  <c r="DW45" i="6"/>
  <c r="DW49" i="6"/>
  <c r="DW53" i="6"/>
  <c r="DW57" i="6"/>
  <c r="DW61" i="6"/>
  <c r="DW65" i="6"/>
  <c r="DW69" i="6"/>
  <c r="DW73" i="6"/>
  <c r="DW77" i="6"/>
  <c r="DW81" i="6"/>
  <c r="DW85" i="6"/>
  <c r="DW89" i="6"/>
  <c r="DW93" i="6"/>
  <c r="DW97" i="6"/>
  <c r="DW101" i="6"/>
  <c r="DW105" i="6"/>
  <c r="DW109" i="6"/>
  <c r="DW113" i="6"/>
  <c r="DW117" i="6"/>
  <c r="DW121" i="6"/>
  <c r="DW125" i="6"/>
  <c r="DW129" i="6"/>
  <c r="DW133" i="6"/>
  <c r="DP19" i="6"/>
  <c r="DP23" i="6"/>
  <c r="DP27" i="6"/>
  <c r="DP31" i="6"/>
  <c r="DP35" i="6"/>
  <c r="DP39" i="6"/>
  <c r="DP43" i="6"/>
  <c r="ER38" i="6"/>
  <c r="ER54" i="6"/>
  <c r="ER70" i="6"/>
  <c r="ER86" i="6"/>
  <c r="ER102" i="6"/>
  <c r="ER118" i="6"/>
  <c r="ER134" i="6"/>
  <c r="EK28" i="6"/>
  <c r="EK44" i="6"/>
  <c r="EK76" i="6"/>
  <c r="EK92" i="6"/>
  <c r="EK108" i="6"/>
  <c r="EK124" i="6"/>
  <c r="ED18" i="6"/>
  <c r="ED34" i="6"/>
  <c r="ED50" i="6"/>
  <c r="ED66" i="6"/>
  <c r="ED82" i="6"/>
  <c r="ED98" i="6"/>
  <c r="ED112" i="6"/>
  <c r="ED120" i="6"/>
  <c r="ED128" i="6"/>
  <c r="ED16" i="6"/>
  <c r="DW22" i="6"/>
  <c r="DW30" i="6"/>
  <c r="DW38" i="6"/>
  <c r="DW46" i="6"/>
  <c r="DW54" i="6"/>
  <c r="DW62" i="6"/>
  <c r="DW70" i="6"/>
  <c r="DW78" i="6"/>
  <c r="DW86" i="6"/>
  <c r="DW94" i="6"/>
  <c r="DW102" i="6"/>
  <c r="DW110" i="6"/>
  <c r="DW118" i="6"/>
  <c r="DW126" i="6"/>
  <c r="DW134" i="6"/>
  <c r="DP20" i="6"/>
  <c r="DP28" i="6"/>
  <c r="DP44" i="6"/>
  <c r="DP48" i="6"/>
  <c r="DP52" i="6"/>
  <c r="DP56" i="6"/>
  <c r="DP60" i="6"/>
  <c r="DP64" i="6"/>
  <c r="DP68" i="6"/>
  <c r="DP72" i="6"/>
  <c r="DP76" i="6"/>
  <c r="DP80" i="6"/>
  <c r="DP84" i="6"/>
  <c r="DP88" i="6"/>
  <c r="DP92" i="6"/>
  <c r="DP96" i="6"/>
  <c r="DP100" i="6"/>
  <c r="DP104" i="6"/>
  <c r="DP108" i="6"/>
  <c r="DP112" i="6"/>
  <c r="DP116" i="6"/>
  <c r="DP120" i="6"/>
  <c r="DP124" i="6"/>
  <c r="DP128" i="6"/>
  <c r="DP132" i="6"/>
  <c r="DP16" i="6"/>
  <c r="DI18" i="6"/>
  <c r="DI22" i="6"/>
  <c r="DI26" i="6"/>
  <c r="DI30" i="6"/>
  <c r="DI34" i="6"/>
  <c r="DI38" i="6"/>
  <c r="DI42" i="6"/>
  <c r="DI46" i="6"/>
  <c r="DI50" i="6"/>
  <c r="DI54" i="6"/>
  <c r="DI58" i="6"/>
  <c r="DI62" i="6"/>
  <c r="DI66" i="6"/>
  <c r="DI70" i="6"/>
  <c r="DI74" i="6"/>
  <c r="DI78" i="6"/>
  <c r="DI82" i="6"/>
  <c r="DI86" i="6"/>
  <c r="DI90" i="6"/>
  <c r="ER40" i="6"/>
  <c r="ER56" i="6"/>
  <c r="ER72" i="6"/>
  <c r="ER88" i="6"/>
  <c r="ER104" i="6"/>
  <c r="ER120" i="6"/>
  <c r="ER16" i="6"/>
  <c r="EK30" i="6"/>
  <c r="EK46" i="6"/>
  <c r="EK62" i="6"/>
  <c r="EK78" i="6"/>
  <c r="EK94" i="6"/>
  <c r="EK110" i="6"/>
  <c r="EK126" i="6"/>
  <c r="ED20" i="6"/>
  <c r="ED36" i="6"/>
  <c r="ED52" i="6"/>
  <c r="ED68" i="6"/>
  <c r="ED84" i="6"/>
  <c r="ED100" i="6"/>
  <c r="ED113" i="6"/>
  <c r="ED121" i="6"/>
  <c r="ED129" i="6"/>
  <c r="DW23" i="6"/>
  <c r="DW31" i="6"/>
  <c r="DW39" i="6"/>
  <c r="DW47" i="6"/>
  <c r="DW55" i="6"/>
  <c r="DW63" i="6"/>
  <c r="DW71" i="6"/>
  <c r="DW79" i="6"/>
  <c r="DW87" i="6"/>
  <c r="DW95" i="6"/>
  <c r="DW103" i="6"/>
  <c r="DW111" i="6"/>
  <c r="DW119" i="6"/>
  <c r="DW127" i="6"/>
  <c r="DW135" i="6"/>
  <c r="DP21" i="6"/>
  <c r="DP29" i="6"/>
  <c r="DP37" i="6"/>
  <c r="DP45" i="6"/>
  <c r="DP49" i="6"/>
  <c r="DP53" i="6"/>
  <c r="DP57" i="6"/>
  <c r="DP61" i="6"/>
  <c r="DP65" i="6"/>
  <c r="DP69" i="6"/>
  <c r="DP73" i="6"/>
  <c r="DP77" i="6"/>
  <c r="DP81" i="6"/>
  <c r="DP85" i="6"/>
  <c r="DP89" i="6"/>
  <c r="DP93" i="6"/>
  <c r="DP97" i="6"/>
  <c r="DP101" i="6"/>
  <c r="DP105" i="6"/>
  <c r="DP109" i="6"/>
  <c r="DP113" i="6"/>
  <c r="DP117" i="6"/>
  <c r="DP121" i="6"/>
  <c r="DP125" i="6"/>
  <c r="DP129" i="6"/>
  <c r="DP133" i="6"/>
  <c r="DI19" i="6"/>
  <c r="DI23" i="6"/>
  <c r="DI27" i="6"/>
  <c r="DI31" i="6"/>
  <c r="DI35" i="6"/>
  <c r="DI39" i="6"/>
  <c r="DI43" i="6"/>
  <c r="DI47" i="6"/>
  <c r="DI51" i="6"/>
  <c r="DI55" i="6"/>
  <c r="DI59" i="6"/>
  <c r="DI63" i="6"/>
  <c r="DI67" i="6"/>
  <c r="DI71" i="6"/>
  <c r="DI75" i="6"/>
  <c r="DI79" i="6"/>
  <c r="DI83" i="6"/>
  <c r="DI87" i="6"/>
  <c r="DI91" i="6"/>
  <c r="DI95" i="6"/>
  <c r="ER30" i="6"/>
  <c r="ER62" i="6"/>
  <c r="ER94" i="6"/>
  <c r="ER126" i="6"/>
  <c r="EK36" i="6"/>
  <c r="EK68" i="6"/>
  <c r="EK100" i="6"/>
  <c r="EK132" i="6"/>
  <c r="ED42" i="6"/>
  <c r="ED74" i="6"/>
  <c r="ED106" i="6"/>
  <c r="ED124" i="6"/>
  <c r="DW18" i="6"/>
  <c r="DW34" i="6"/>
  <c r="DW50" i="6"/>
  <c r="DW66" i="6"/>
  <c r="DW82" i="6"/>
  <c r="DW98" i="6"/>
  <c r="DW114" i="6"/>
  <c r="DW130" i="6"/>
  <c r="DP24" i="6"/>
  <c r="DP40" i="6"/>
  <c r="DP50" i="6"/>
  <c r="DP58" i="6"/>
  <c r="DP66" i="6"/>
  <c r="DP74" i="6"/>
  <c r="DP82" i="6"/>
  <c r="DP90" i="6"/>
  <c r="DP98" i="6"/>
  <c r="DP106" i="6"/>
  <c r="DP114" i="6"/>
  <c r="DP122" i="6"/>
  <c r="DP130" i="6"/>
  <c r="DI24" i="6"/>
  <c r="DI32" i="6"/>
  <c r="DI40" i="6"/>
  <c r="DI48" i="6"/>
  <c r="DI56" i="6"/>
  <c r="DI64" i="6"/>
  <c r="DI72" i="6"/>
  <c r="DI80" i="6"/>
  <c r="DI88" i="6"/>
  <c r="DI94" i="6"/>
  <c r="DI99" i="6"/>
  <c r="DI103" i="6"/>
  <c r="DI107" i="6"/>
  <c r="DI111" i="6"/>
  <c r="DI115" i="6"/>
  <c r="DI119" i="6"/>
  <c r="DI123" i="6"/>
  <c r="DI127" i="6"/>
  <c r="DI131" i="6"/>
  <c r="DI135" i="6"/>
  <c r="DB17" i="6"/>
  <c r="DB21" i="6"/>
  <c r="DB25" i="6"/>
  <c r="DB29" i="6"/>
  <c r="DB37" i="6"/>
  <c r="DB41" i="6"/>
  <c r="DB45" i="6"/>
  <c r="DB49" i="6"/>
  <c r="DB53" i="6"/>
  <c r="DB61" i="6"/>
  <c r="DB65" i="6"/>
  <c r="DB69" i="6"/>
  <c r="DB81" i="6"/>
  <c r="DB85" i="6"/>
  <c r="DB89" i="6"/>
  <c r="DB101" i="6"/>
  <c r="DB113" i="6"/>
  <c r="DB117" i="6"/>
  <c r="DB129" i="6"/>
  <c r="CU19" i="6"/>
  <c r="CU35" i="6"/>
  <c r="CU51" i="6"/>
  <c r="CU63" i="6"/>
  <c r="CU75" i="6"/>
  <c r="CU87" i="6"/>
  <c r="CU107" i="6"/>
  <c r="ER32" i="6"/>
  <c r="ER64" i="6"/>
  <c r="ER96" i="6"/>
  <c r="ER128" i="6"/>
  <c r="EK38" i="6"/>
  <c r="EK70" i="6"/>
  <c r="EK102" i="6"/>
  <c r="EK134" i="6"/>
  <c r="ED44" i="6"/>
  <c r="ED76" i="6"/>
  <c r="ED108" i="6"/>
  <c r="ED125" i="6"/>
  <c r="DW35" i="6"/>
  <c r="DW51" i="6"/>
  <c r="DW67" i="6"/>
  <c r="DW83" i="6"/>
  <c r="DW99" i="6"/>
  <c r="DW115" i="6"/>
  <c r="DW131" i="6"/>
  <c r="DP25" i="6"/>
  <c r="DP41" i="6"/>
  <c r="DP51" i="6"/>
  <c r="DP59" i="6"/>
  <c r="DP67" i="6"/>
  <c r="DP75" i="6"/>
  <c r="DP83" i="6"/>
  <c r="DP91" i="6"/>
  <c r="DP107" i="6"/>
  <c r="DP115" i="6"/>
  <c r="DP123" i="6"/>
  <c r="DP131" i="6"/>
  <c r="DI17" i="6"/>
  <c r="DI25" i="6"/>
  <c r="DI33" i="6"/>
  <c r="DI41" i="6"/>
  <c r="DI49" i="6"/>
  <c r="DI57" i="6"/>
  <c r="DI65" i="6"/>
  <c r="DI73" i="6"/>
  <c r="DI81" i="6"/>
  <c r="DI89" i="6"/>
  <c r="DI96" i="6"/>
  <c r="DI100" i="6"/>
  <c r="DI104" i="6"/>
  <c r="DI108" i="6"/>
  <c r="DI112" i="6"/>
  <c r="DI116" i="6"/>
  <c r="DI120" i="6"/>
  <c r="DI124" i="6"/>
  <c r="DI128" i="6"/>
  <c r="DI132" i="6"/>
  <c r="DI16" i="6"/>
  <c r="DB18" i="6"/>
  <c r="DB22" i="6"/>
  <c r="DB26" i="6"/>
  <c r="DB30" i="6"/>
  <c r="DB34" i="6"/>
  <c r="DB38" i="6"/>
  <c r="DB42" i="6"/>
  <c r="DB46" i="6"/>
  <c r="DB50" i="6"/>
  <c r="DB54" i="6"/>
  <c r="DB58" i="6"/>
  <c r="DB62" i="6"/>
  <c r="DB66" i="6"/>
  <c r="DB70" i="6"/>
  <c r="DB74" i="6"/>
  <c r="DB78" i="6"/>
  <c r="DB82" i="6"/>
  <c r="DB86" i="6"/>
  <c r="DB90" i="6"/>
  <c r="DB94" i="6"/>
  <c r="DB98" i="6"/>
  <c r="DB102" i="6"/>
  <c r="DB106" i="6"/>
  <c r="DB110" i="6"/>
  <c r="DB114" i="6"/>
  <c r="DB118" i="6"/>
  <c r="DB122" i="6"/>
  <c r="DB126" i="6"/>
  <c r="DB130" i="6"/>
  <c r="DB134" i="6"/>
  <c r="ER46" i="6"/>
  <c r="ER78" i="6"/>
  <c r="ER110" i="6"/>
  <c r="EK20" i="6"/>
  <c r="EK52" i="6"/>
  <c r="EK84" i="6"/>
  <c r="EK116" i="6"/>
  <c r="ED26" i="6"/>
  <c r="ED58" i="6"/>
  <c r="ED90" i="6"/>
  <c r="ED116" i="6"/>
  <c r="ED132" i="6"/>
  <c r="DW26" i="6"/>
  <c r="DW42" i="6"/>
  <c r="DW74" i="6"/>
  <c r="DW90" i="6"/>
  <c r="DW106" i="6"/>
  <c r="DW122" i="6"/>
  <c r="DP32" i="6"/>
  <c r="DP46" i="6"/>
  <c r="DP54" i="6"/>
  <c r="DP62" i="6"/>
  <c r="DP70" i="6"/>
  <c r="DP78" i="6"/>
  <c r="DP86" i="6"/>
  <c r="DP94" i="6"/>
  <c r="DP102" i="6"/>
  <c r="DP110" i="6"/>
  <c r="DP118" i="6"/>
  <c r="DP126" i="6"/>
  <c r="DP134" i="6"/>
  <c r="DI20" i="6"/>
  <c r="DI28" i="6"/>
  <c r="DI36" i="6"/>
  <c r="DI52" i="6"/>
  <c r="DI60" i="6"/>
  <c r="DI68" i="6"/>
  <c r="DI76" i="6"/>
  <c r="DI84" i="6"/>
  <c r="DI92" i="6"/>
  <c r="DI97" i="6"/>
  <c r="DI101" i="6"/>
  <c r="DI105" i="6"/>
  <c r="DI113" i="6"/>
  <c r="DI117" i="6"/>
  <c r="DI121" i="6"/>
  <c r="DI125" i="6"/>
  <c r="DI129" i="6"/>
  <c r="DI133" i="6"/>
  <c r="DB19" i="6"/>
  <c r="DB23" i="6"/>
  <c r="DB27" i="6"/>
  <c r="DB31" i="6"/>
  <c r="DB35" i="6"/>
  <c r="DB39" i="6"/>
  <c r="DB43" i="6"/>
  <c r="DB47" i="6"/>
  <c r="DB51" i="6"/>
  <c r="DB55" i="6"/>
  <c r="DB59" i="6"/>
  <c r="DB63" i="6"/>
  <c r="DB67" i="6"/>
  <c r="DB71" i="6"/>
  <c r="DB75" i="6"/>
  <c r="DB79" i="6"/>
  <c r="DB83" i="6"/>
  <c r="DB87" i="6"/>
  <c r="DB91" i="6"/>
  <c r="DB95" i="6"/>
  <c r="DB99" i="6"/>
  <c r="DB103" i="6"/>
  <c r="DB107" i="6"/>
  <c r="DB111" i="6"/>
  <c r="DB115" i="6"/>
  <c r="DB119" i="6"/>
  <c r="DB123" i="6"/>
  <c r="DB127" i="6"/>
  <c r="DB131" i="6"/>
  <c r="DB135" i="6"/>
  <c r="CU17" i="6"/>
  <c r="CU21" i="6"/>
  <c r="CU25" i="6"/>
  <c r="CU29" i="6"/>
  <c r="CU33" i="6"/>
  <c r="CU37" i="6"/>
  <c r="CU41" i="6"/>
  <c r="CU45" i="6"/>
  <c r="CU49" i="6"/>
  <c r="CU53" i="6"/>
  <c r="CU57" i="6"/>
  <c r="CU61" i="6"/>
  <c r="CU65" i="6"/>
  <c r="CU69" i="6"/>
  <c r="CU73" i="6"/>
  <c r="CU77" i="6"/>
  <c r="CU81" i="6"/>
  <c r="CU85" i="6"/>
  <c r="CU89" i="6"/>
  <c r="CU93" i="6"/>
  <c r="CU97" i="6"/>
  <c r="CU101" i="6"/>
  <c r="CU105" i="6"/>
  <c r="CU109" i="6"/>
  <c r="CU113" i="6"/>
  <c r="CU117" i="6"/>
  <c r="CU121" i="6"/>
  <c r="CU125" i="6"/>
  <c r="CU129" i="6"/>
  <c r="CU133" i="6"/>
  <c r="CN19" i="6"/>
  <c r="CN23" i="6"/>
  <c r="CN27" i="6"/>
  <c r="CN31" i="6"/>
  <c r="CN35" i="6"/>
  <c r="CN39" i="6"/>
  <c r="CN43" i="6"/>
  <c r="CN47" i="6"/>
  <c r="CN51" i="6"/>
  <c r="CN55" i="6"/>
  <c r="CN59" i="6"/>
  <c r="CN63" i="6"/>
  <c r="CN67" i="6"/>
  <c r="CN71" i="6"/>
  <c r="CN75" i="6"/>
  <c r="CN79" i="6"/>
  <c r="CN83" i="6"/>
  <c r="CN87" i="6"/>
  <c r="CN91" i="6"/>
  <c r="CN95" i="6"/>
  <c r="CN99" i="6"/>
  <c r="CN103" i="6"/>
  <c r="CN107" i="6"/>
  <c r="CN111" i="6"/>
  <c r="CN115" i="6"/>
  <c r="CN119" i="6"/>
  <c r="CN123" i="6"/>
  <c r="CN127" i="6"/>
  <c r="CN131" i="6"/>
  <c r="CN135" i="6"/>
  <c r="DB73" i="6"/>
  <c r="DB97" i="6"/>
  <c r="DB109" i="6"/>
  <c r="DB125" i="6"/>
  <c r="CU27" i="6"/>
  <c r="CU39" i="6"/>
  <c r="CU47" i="6"/>
  <c r="CU59" i="6"/>
  <c r="CU71" i="6"/>
  <c r="CU83" i="6"/>
  <c r="CU95" i="6"/>
  <c r="CU103" i="6"/>
  <c r="ER80" i="6"/>
  <c r="ER112" i="6"/>
  <c r="EK22" i="6"/>
  <c r="EK54" i="6"/>
  <c r="EK86" i="6"/>
  <c r="EK118" i="6"/>
  <c r="ED28" i="6"/>
  <c r="ED60" i="6"/>
  <c r="ED92" i="6"/>
  <c r="ED117" i="6"/>
  <c r="ED133" i="6"/>
  <c r="DW27" i="6"/>
  <c r="DW43" i="6"/>
  <c r="DW59" i="6"/>
  <c r="DW75" i="6"/>
  <c r="DW91" i="6"/>
  <c r="DW107" i="6"/>
  <c r="DW123" i="6"/>
  <c r="DP17" i="6"/>
  <c r="DP33" i="6"/>
  <c r="DP47" i="6"/>
  <c r="DP55" i="6"/>
  <c r="DP63" i="6"/>
  <c r="DP71" i="6"/>
  <c r="DP79" i="6"/>
  <c r="DP87" i="6"/>
  <c r="DP103" i="6"/>
  <c r="DP111" i="6"/>
  <c r="DP119" i="6"/>
  <c r="DP127" i="6"/>
  <c r="DP135" i="6"/>
  <c r="DI21" i="6"/>
  <c r="DI29" i="6"/>
  <c r="DI37" i="6"/>
  <c r="DI53" i="6"/>
  <c r="DI61" i="6"/>
  <c r="DI69" i="6"/>
  <c r="DI77" i="6"/>
  <c r="DI85" i="6"/>
  <c r="DI93" i="6"/>
  <c r="DI98" i="6"/>
  <c r="DI102" i="6"/>
  <c r="DI106" i="6"/>
  <c r="DI110" i="6"/>
  <c r="DI114" i="6"/>
  <c r="DI118" i="6"/>
  <c r="DI122" i="6"/>
  <c r="DI126" i="6"/>
  <c r="DI130" i="6"/>
  <c r="DI134" i="6"/>
  <c r="DB20" i="6"/>
  <c r="DB24" i="6"/>
  <c r="DB28" i="6"/>
  <c r="DB32" i="6"/>
  <c r="DB36" i="6"/>
  <c r="DB40" i="6"/>
  <c r="DB44" i="6"/>
  <c r="DB48" i="6"/>
  <c r="DB52" i="6"/>
  <c r="DB56" i="6"/>
  <c r="DB60" i="6"/>
  <c r="DB64" i="6"/>
  <c r="DB68" i="6"/>
  <c r="DB72" i="6"/>
  <c r="DB76" i="6"/>
  <c r="DB80" i="6"/>
  <c r="DB84" i="6"/>
  <c r="DB88" i="6"/>
  <c r="DB92" i="6"/>
  <c r="DB96" i="6"/>
  <c r="DB100" i="6"/>
  <c r="DB104" i="6"/>
  <c r="DB108" i="6"/>
  <c r="DB112" i="6"/>
  <c r="DB116" i="6"/>
  <c r="DB120" i="6"/>
  <c r="DB124" i="6"/>
  <c r="DB128" i="6"/>
  <c r="DB132" i="6"/>
  <c r="DB16" i="6"/>
  <c r="CU18" i="6"/>
  <c r="CU22" i="6"/>
  <c r="CU26" i="6"/>
  <c r="CU30" i="6"/>
  <c r="CU34" i="6"/>
  <c r="CU38" i="6"/>
  <c r="CU42" i="6"/>
  <c r="CU46" i="6"/>
  <c r="CU50" i="6"/>
  <c r="CU54" i="6"/>
  <c r="CU58" i="6"/>
  <c r="CU62" i="6"/>
  <c r="CU66" i="6"/>
  <c r="CU70" i="6"/>
  <c r="CU74" i="6"/>
  <c r="CU78" i="6"/>
  <c r="CU82" i="6"/>
  <c r="CU86" i="6"/>
  <c r="CU90" i="6"/>
  <c r="CU94" i="6"/>
  <c r="CU98" i="6"/>
  <c r="CU102" i="6"/>
  <c r="CU106" i="6"/>
  <c r="CU110" i="6"/>
  <c r="CU114" i="6"/>
  <c r="CU118" i="6"/>
  <c r="CU122" i="6"/>
  <c r="CU126" i="6"/>
  <c r="CU130" i="6"/>
  <c r="CU134" i="6"/>
  <c r="CN20" i="6"/>
  <c r="CN24" i="6"/>
  <c r="CN28" i="6"/>
  <c r="CN32" i="6"/>
  <c r="CN36" i="6"/>
  <c r="CN40" i="6"/>
  <c r="CN44" i="6"/>
  <c r="CN48" i="6"/>
  <c r="CN52" i="6"/>
  <c r="CN56" i="6"/>
  <c r="CN60" i="6"/>
  <c r="CN64" i="6"/>
  <c r="CN68" i="6"/>
  <c r="CN72" i="6"/>
  <c r="CN76" i="6"/>
  <c r="CN80" i="6"/>
  <c r="CN84" i="6"/>
  <c r="CN88" i="6"/>
  <c r="CN92" i="6"/>
  <c r="CN96" i="6"/>
  <c r="CN100" i="6"/>
  <c r="CN104" i="6"/>
  <c r="CN108" i="6"/>
  <c r="CN112" i="6"/>
  <c r="CN116" i="6"/>
  <c r="CN120" i="6"/>
  <c r="CN124" i="6"/>
  <c r="CN128" i="6"/>
  <c r="CN132" i="6"/>
  <c r="CN16" i="6"/>
  <c r="DB77" i="6"/>
  <c r="DB93" i="6"/>
  <c r="DB105" i="6"/>
  <c r="DB121" i="6"/>
  <c r="DB133" i="6"/>
  <c r="CU23" i="6"/>
  <c r="CU31" i="6"/>
  <c r="CU55" i="6"/>
  <c r="CU67" i="6"/>
  <c r="CU79" i="6"/>
  <c r="CU91" i="6"/>
  <c r="CU99" i="6"/>
  <c r="CU28" i="6"/>
  <c r="CU44" i="6"/>
  <c r="CU60" i="6"/>
  <c r="CU76" i="6"/>
  <c r="CU92" i="6"/>
  <c r="CU108" i="6"/>
  <c r="CU116" i="6"/>
  <c r="CU124" i="6"/>
  <c r="CU132" i="6"/>
  <c r="CN18" i="6"/>
  <c r="CN26" i="6"/>
  <c r="CN34" i="6"/>
  <c r="CN42" i="6"/>
  <c r="CN50" i="6"/>
  <c r="CN58" i="6"/>
  <c r="CN66" i="6"/>
  <c r="CN74" i="6"/>
  <c r="CN82" i="6"/>
  <c r="CN90" i="6"/>
  <c r="CN98" i="6"/>
  <c r="CN106" i="6"/>
  <c r="CN114" i="6"/>
  <c r="CN122" i="6"/>
  <c r="CN130" i="6"/>
  <c r="CU36" i="6"/>
  <c r="CU84" i="6"/>
  <c r="CU112" i="6"/>
  <c r="CN22" i="6"/>
  <c r="CN30" i="6"/>
  <c r="CN54" i="6"/>
  <c r="CN70" i="6"/>
  <c r="CN86" i="6"/>
  <c r="CN102" i="6"/>
  <c r="CN118" i="6"/>
  <c r="CN134" i="6"/>
  <c r="CU40" i="6"/>
  <c r="CU72" i="6"/>
  <c r="CU104" i="6"/>
  <c r="CU131" i="6"/>
  <c r="CN25" i="6"/>
  <c r="CN41" i="6"/>
  <c r="CN57" i="6"/>
  <c r="CN65" i="6"/>
  <c r="CN89" i="6"/>
  <c r="CN105" i="6"/>
  <c r="CN121" i="6"/>
  <c r="CU32" i="6"/>
  <c r="CU48" i="6"/>
  <c r="CU64" i="6"/>
  <c r="CU80" i="6"/>
  <c r="CU96" i="6"/>
  <c r="CU111" i="6"/>
  <c r="CU119" i="6"/>
  <c r="CU127" i="6"/>
  <c r="CU135" i="6"/>
  <c r="CN21" i="6"/>
  <c r="CN29" i="6"/>
  <c r="CN37" i="6"/>
  <c r="CN53" i="6"/>
  <c r="CN61" i="6"/>
  <c r="CN69" i="6"/>
  <c r="CN77" i="6"/>
  <c r="CN85" i="6"/>
  <c r="CN93" i="6"/>
  <c r="CN101" i="6"/>
  <c r="CN109" i="6"/>
  <c r="CN117" i="6"/>
  <c r="CN125" i="6"/>
  <c r="CN133" i="6"/>
  <c r="CU20" i="6"/>
  <c r="CU52" i="6"/>
  <c r="CU68" i="6"/>
  <c r="CU100" i="6"/>
  <c r="CU120" i="6"/>
  <c r="CU16" i="6"/>
  <c r="CN38" i="6"/>
  <c r="CN46" i="6"/>
  <c r="CN62" i="6"/>
  <c r="CN78" i="6"/>
  <c r="CN94" i="6"/>
  <c r="CN110" i="6"/>
  <c r="CN126" i="6"/>
  <c r="CU24" i="6"/>
  <c r="CU56" i="6"/>
  <c r="CU88" i="6"/>
  <c r="CU115" i="6"/>
  <c r="CU123" i="6"/>
  <c r="CN17" i="6"/>
  <c r="CN33" i="6"/>
  <c r="CN49" i="6"/>
  <c r="CN73" i="6"/>
  <c r="CN81" i="6"/>
  <c r="CN97" i="6"/>
  <c r="CN113" i="6"/>
  <c r="CN129" i="6"/>
  <c r="CG18" i="6"/>
  <c r="CG22" i="6"/>
  <c r="CG26" i="6"/>
  <c r="CG30" i="6"/>
  <c r="CG34" i="6"/>
  <c r="CG38" i="6"/>
  <c r="CG42" i="6"/>
  <c r="CG46" i="6"/>
  <c r="CG50" i="6"/>
  <c r="CG54" i="6"/>
  <c r="CG58" i="6"/>
  <c r="CG62" i="6"/>
  <c r="CG66" i="6"/>
  <c r="CG70" i="6"/>
  <c r="CG74" i="6"/>
  <c r="CG78" i="6"/>
  <c r="CG82" i="6"/>
  <c r="CG86" i="6"/>
  <c r="CG90" i="6"/>
  <c r="CG94" i="6"/>
  <c r="CG98" i="6"/>
  <c r="CG102" i="6"/>
  <c r="CG106" i="6"/>
  <c r="CG110" i="6"/>
  <c r="CG114" i="6"/>
  <c r="CG118" i="6"/>
  <c r="CG122" i="6"/>
  <c r="CG126" i="6"/>
  <c r="CG130" i="6"/>
  <c r="CG134" i="6"/>
  <c r="BZ17" i="6"/>
  <c r="BZ21" i="6"/>
  <c r="BZ25" i="6"/>
  <c r="BZ29" i="6"/>
  <c r="BZ33" i="6"/>
  <c r="BZ37" i="6"/>
  <c r="BZ41" i="6"/>
  <c r="BZ45" i="6"/>
  <c r="BZ49" i="6"/>
  <c r="BZ53" i="6"/>
  <c r="BZ57" i="6"/>
  <c r="BZ61" i="6"/>
  <c r="BZ69" i="6"/>
  <c r="BZ73" i="6"/>
  <c r="BZ77" i="6"/>
  <c r="BZ81" i="6"/>
  <c r="BZ85" i="6"/>
  <c r="BZ89" i="6"/>
  <c r="BZ93" i="6"/>
  <c r="BZ97" i="6"/>
  <c r="BZ101" i="6"/>
  <c r="BZ105" i="6"/>
  <c r="BZ109" i="6"/>
  <c r="BZ113" i="6"/>
  <c r="BZ117" i="6"/>
  <c r="BZ121" i="6"/>
  <c r="BZ125" i="6"/>
  <c r="BZ129" i="6"/>
  <c r="BZ133" i="6"/>
  <c r="BS19" i="6"/>
  <c r="BS23" i="6"/>
  <c r="BS27" i="6"/>
  <c r="BS31" i="6"/>
  <c r="BS35" i="6"/>
  <c r="BS39" i="6"/>
  <c r="BS43" i="6"/>
  <c r="BS47" i="6"/>
  <c r="BS51" i="6"/>
  <c r="BS55" i="6"/>
  <c r="BS59" i="6"/>
  <c r="BS63" i="6"/>
  <c r="BS67" i="6"/>
  <c r="BS71" i="6"/>
  <c r="BS75" i="6"/>
  <c r="BS79" i="6"/>
  <c r="BS83" i="6"/>
  <c r="BS87" i="6"/>
  <c r="BS91" i="6"/>
  <c r="BS95" i="6"/>
  <c r="BS99" i="6"/>
  <c r="BS103" i="6"/>
  <c r="BS107" i="6"/>
  <c r="BS111" i="6"/>
  <c r="BS115" i="6"/>
  <c r="BS119" i="6"/>
  <c r="BS123" i="6"/>
  <c r="BS127" i="6"/>
  <c r="BS131" i="6"/>
  <c r="BS135" i="6"/>
  <c r="BL17" i="6"/>
  <c r="BL21" i="6"/>
  <c r="BL25" i="6"/>
  <c r="BL29" i="6"/>
  <c r="BL33" i="6"/>
  <c r="BL37" i="6"/>
  <c r="BL41" i="6"/>
  <c r="BL45" i="6"/>
  <c r="BL49" i="6"/>
  <c r="BL53" i="6"/>
  <c r="BL57" i="6"/>
  <c r="BL61" i="6"/>
  <c r="BL65" i="6"/>
  <c r="BL69" i="6"/>
  <c r="BL73" i="6"/>
  <c r="BL77" i="6"/>
  <c r="BL81" i="6"/>
  <c r="BL85" i="6"/>
  <c r="BL89" i="6"/>
  <c r="BL93" i="6"/>
  <c r="BL97" i="6"/>
  <c r="BL101" i="6"/>
  <c r="BL105" i="6"/>
  <c r="BL109" i="6"/>
  <c r="BL113" i="6"/>
  <c r="BL117" i="6"/>
  <c r="BL121" i="6"/>
  <c r="BL125" i="6"/>
  <c r="BL129" i="6"/>
  <c r="BL133" i="6"/>
  <c r="BE17" i="6"/>
  <c r="BE21" i="6"/>
  <c r="BE25" i="6"/>
  <c r="BE29" i="6"/>
  <c r="BE33" i="6"/>
  <c r="BE37" i="6"/>
  <c r="BE41" i="6"/>
  <c r="BE45" i="6"/>
  <c r="BE49" i="6"/>
  <c r="BE53" i="6"/>
  <c r="BE57" i="6"/>
  <c r="BE61" i="6"/>
  <c r="CG19" i="6"/>
  <c r="CG23" i="6"/>
  <c r="CG27" i="6"/>
  <c r="CG31" i="6"/>
  <c r="CG35" i="6"/>
  <c r="CG39" i="6"/>
  <c r="CG43" i="6"/>
  <c r="CG47" i="6"/>
  <c r="CG51" i="6"/>
  <c r="CG55" i="6"/>
  <c r="CG59" i="6"/>
  <c r="CG63" i="6"/>
  <c r="CG67" i="6"/>
  <c r="CG71" i="6"/>
  <c r="CG75" i="6"/>
  <c r="CG79" i="6"/>
  <c r="CG83" i="6"/>
  <c r="CG87" i="6"/>
  <c r="CG91" i="6"/>
  <c r="CG95" i="6"/>
  <c r="CG99" i="6"/>
  <c r="CG103" i="6"/>
  <c r="CG107" i="6"/>
  <c r="CG111" i="6"/>
  <c r="CG115" i="6"/>
  <c r="CG119" i="6"/>
  <c r="CG123" i="6"/>
  <c r="CG127" i="6"/>
  <c r="CG131" i="6"/>
  <c r="CG135" i="6"/>
  <c r="BZ18" i="6"/>
  <c r="BZ22" i="6"/>
  <c r="BZ26" i="6"/>
  <c r="BZ30" i="6"/>
  <c r="BZ34" i="6"/>
  <c r="BZ38" i="6"/>
  <c r="BZ42" i="6"/>
  <c r="BZ46" i="6"/>
  <c r="BZ50" i="6"/>
  <c r="BZ54" i="6"/>
  <c r="BZ58" i="6"/>
  <c r="BZ62" i="6"/>
  <c r="BZ66" i="6"/>
  <c r="BZ70" i="6"/>
  <c r="BZ74" i="6"/>
  <c r="BZ78" i="6"/>
  <c r="BZ82" i="6"/>
  <c r="BZ86" i="6"/>
  <c r="BZ90" i="6"/>
  <c r="BZ94" i="6"/>
  <c r="BZ98" i="6"/>
  <c r="BZ102" i="6"/>
  <c r="BZ106" i="6"/>
  <c r="BZ110" i="6"/>
  <c r="BZ114" i="6"/>
  <c r="BZ118" i="6"/>
  <c r="BZ122" i="6"/>
  <c r="BZ126" i="6"/>
  <c r="BZ130" i="6"/>
  <c r="BZ134" i="6"/>
  <c r="BS20" i="6"/>
  <c r="BS24" i="6"/>
  <c r="BS28" i="6"/>
  <c r="BS32" i="6"/>
  <c r="BS36" i="6"/>
  <c r="BS40" i="6"/>
  <c r="BS44" i="6"/>
  <c r="BS48" i="6"/>
  <c r="BS52" i="6"/>
  <c r="BS56" i="6"/>
  <c r="BS60" i="6"/>
  <c r="BS64" i="6"/>
  <c r="BS68" i="6"/>
  <c r="BS72" i="6"/>
  <c r="BS76" i="6"/>
  <c r="BS80" i="6"/>
  <c r="BS84" i="6"/>
  <c r="BS88" i="6"/>
  <c r="BS92" i="6"/>
  <c r="BS96" i="6"/>
  <c r="BS100" i="6"/>
  <c r="BS104" i="6"/>
  <c r="BS108" i="6"/>
  <c r="BS112" i="6"/>
  <c r="BS116" i="6"/>
  <c r="BS120" i="6"/>
  <c r="BS124" i="6"/>
  <c r="BS128" i="6"/>
  <c r="BS132" i="6"/>
  <c r="BS16" i="6"/>
  <c r="BL18" i="6"/>
  <c r="BL22" i="6"/>
  <c r="BL26" i="6"/>
  <c r="BL30" i="6"/>
  <c r="BL34" i="6"/>
  <c r="BL38" i="6"/>
  <c r="BL42" i="6"/>
  <c r="BL46" i="6"/>
  <c r="BL50" i="6"/>
  <c r="BL54" i="6"/>
  <c r="BL58" i="6"/>
  <c r="BL62" i="6"/>
  <c r="BL66" i="6"/>
  <c r="BL70" i="6"/>
  <c r="BL74" i="6"/>
  <c r="BL78" i="6"/>
  <c r="BL82" i="6"/>
  <c r="BL86" i="6"/>
  <c r="BL90" i="6"/>
  <c r="BL94" i="6"/>
  <c r="BL98" i="6"/>
  <c r="BL102" i="6"/>
  <c r="BL106" i="6"/>
  <c r="BL110" i="6"/>
  <c r="BL114" i="6"/>
  <c r="BL118" i="6"/>
  <c r="BL122" i="6"/>
  <c r="BL126" i="6"/>
  <c r="BL130" i="6"/>
  <c r="BL134" i="6"/>
  <c r="BE18" i="6"/>
  <c r="BE22" i="6"/>
  <c r="BE26" i="6"/>
  <c r="BE30" i="6"/>
  <c r="BE34" i="6"/>
  <c r="BE38" i="6"/>
  <c r="BE42" i="6"/>
  <c r="BE46" i="6"/>
  <c r="BE50" i="6"/>
  <c r="BE54" i="6"/>
  <c r="BE58" i="6"/>
  <c r="BE62" i="6"/>
  <c r="CG17" i="6"/>
  <c r="CG20" i="6"/>
  <c r="CG24" i="6"/>
  <c r="CG28" i="6"/>
  <c r="CG32" i="6"/>
  <c r="CG36" i="6"/>
  <c r="CG40" i="6"/>
  <c r="CG44" i="6"/>
  <c r="CG48" i="6"/>
  <c r="CG52" i="6"/>
  <c r="CG56" i="6"/>
  <c r="CG60" i="6"/>
  <c r="CG64" i="6"/>
  <c r="CG68" i="6"/>
  <c r="CG72" i="6"/>
  <c r="CG76" i="6"/>
  <c r="CG80" i="6"/>
  <c r="CG84" i="6"/>
  <c r="CG88" i="6"/>
  <c r="CG92" i="6"/>
  <c r="CG96" i="6"/>
  <c r="CG100" i="6"/>
  <c r="CG104" i="6"/>
  <c r="CG108" i="6"/>
  <c r="CG112" i="6"/>
  <c r="CG116" i="6"/>
  <c r="CG120" i="6"/>
  <c r="CG124" i="6"/>
  <c r="CG128" i="6"/>
  <c r="CG132" i="6"/>
  <c r="BZ19" i="6"/>
  <c r="BZ23" i="6"/>
  <c r="BZ27" i="6"/>
  <c r="BZ31" i="6"/>
  <c r="BZ35" i="6"/>
  <c r="BZ39" i="6"/>
  <c r="BZ43" i="6"/>
  <c r="BZ47" i="6"/>
  <c r="BZ51" i="6"/>
  <c r="BZ55" i="6"/>
  <c r="BZ59" i="6"/>
  <c r="BZ63" i="6"/>
  <c r="BZ67" i="6"/>
  <c r="BZ71" i="6"/>
  <c r="BZ75" i="6"/>
  <c r="BZ79" i="6"/>
  <c r="BZ83" i="6"/>
  <c r="BZ87" i="6"/>
  <c r="BZ91" i="6"/>
  <c r="BZ95" i="6"/>
  <c r="BZ99" i="6"/>
  <c r="BZ103" i="6"/>
  <c r="BZ107" i="6"/>
  <c r="BZ111" i="6"/>
  <c r="BZ115" i="6"/>
  <c r="BZ119" i="6"/>
  <c r="BZ123" i="6"/>
  <c r="BZ127" i="6"/>
  <c r="BZ131" i="6"/>
  <c r="BZ135" i="6"/>
  <c r="BS17" i="6"/>
  <c r="BS21" i="6"/>
  <c r="BS25" i="6"/>
  <c r="BS33" i="6"/>
  <c r="BS37" i="6"/>
  <c r="BS41" i="6"/>
  <c r="BS45" i="6"/>
  <c r="BS49" i="6"/>
  <c r="BS53" i="6"/>
  <c r="BS57" i="6"/>
  <c r="BS61" i="6"/>
  <c r="BS65" i="6"/>
  <c r="BS69" i="6"/>
  <c r="BS73" i="6"/>
  <c r="BS81" i="6"/>
  <c r="BS85" i="6"/>
  <c r="BS89" i="6"/>
  <c r="BS93" i="6"/>
  <c r="BS97" i="6"/>
  <c r="BS101" i="6"/>
  <c r="BS105" i="6"/>
  <c r="BS109" i="6"/>
  <c r="BS113" i="6"/>
  <c r="BS117" i="6"/>
  <c r="BS121" i="6"/>
  <c r="BS125" i="6"/>
  <c r="BS129" i="6"/>
  <c r="BS133" i="6"/>
  <c r="BL19" i="6"/>
  <c r="BL23" i="6"/>
  <c r="BL27" i="6"/>
  <c r="BL31" i="6"/>
  <c r="BL35" i="6"/>
  <c r="BL39" i="6"/>
  <c r="BL43" i="6"/>
  <c r="BL47" i="6"/>
  <c r="BL51" i="6"/>
  <c r="BL55" i="6"/>
  <c r="BL59" i="6"/>
  <c r="BL63" i="6"/>
  <c r="BL75" i="6"/>
  <c r="BL79" i="6"/>
  <c r="BL83" i="6"/>
  <c r="BL87" i="6"/>
  <c r="BL91" i="6"/>
  <c r="BL95" i="6"/>
  <c r="BL99" i="6"/>
  <c r="BL103" i="6"/>
  <c r="BL107" i="6"/>
  <c r="BL111" i="6"/>
  <c r="BL115" i="6"/>
  <c r="BL119" i="6"/>
  <c r="BL123" i="6"/>
  <c r="BL127" i="6"/>
  <c r="BL131" i="6"/>
  <c r="BL135" i="6"/>
  <c r="BE19" i="6"/>
  <c r="BE23" i="6"/>
  <c r="BE27" i="6"/>
  <c r="BE31" i="6"/>
  <c r="BE35" i="6"/>
  <c r="BE39" i="6"/>
  <c r="BE43" i="6"/>
  <c r="BE47" i="6"/>
  <c r="BE51" i="6"/>
  <c r="BE55" i="6"/>
  <c r="BE59" i="6"/>
  <c r="BE63" i="6"/>
  <c r="BE67" i="6"/>
  <c r="BE71" i="6"/>
  <c r="BE75" i="6"/>
  <c r="BE79" i="6"/>
  <c r="BE83" i="6"/>
  <c r="BE87" i="6"/>
  <c r="BE91" i="6"/>
  <c r="BE95" i="6"/>
  <c r="BE99" i="6"/>
  <c r="BE103" i="6"/>
  <c r="BE107" i="6"/>
  <c r="BE111" i="6"/>
  <c r="BE115" i="6"/>
  <c r="BE119" i="6"/>
  <c r="BE123" i="6"/>
  <c r="BE131" i="6"/>
  <c r="BE135" i="6"/>
  <c r="AQ19" i="6"/>
  <c r="AQ23" i="6"/>
  <c r="AQ27" i="6"/>
  <c r="AQ31" i="6"/>
  <c r="AQ35" i="6"/>
  <c r="AQ39" i="6"/>
  <c r="AQ43" i="6"/>
  <c r="AQ47" i="6"/>
  <c r="AQ51" i="6"/>
  <c r="AQ55" i="6"/>
  <c r="AQ59" i="6"/>
  <c r="AQ63" i="6"/>
  <c r="AQ67" i="6"/>
  <c r="AQ71" i="6"/>
  <c r="AQ75" i="6"/>
  <c r="AQ79" i="6"/>
  <c r="AQ83" i="6"/>
  <c r="CG16" i="6"/>
  <c r="CG21" i="6"/>
  <c r="CG25" i="6"/>
  <c r="CG29" i="6"/>
  <c r="CG33" i="6"/>
  <c r="CG37" i="6"/>
  <c r="CG41" i="6"/>
  <c r="CG45" i="6"/>
  <c r="CG49" i="6"/>
  <c r="CG53" i="6"/>
  <c r="CG57" i="6"/>
  <c r="CG61" i="6"/>
  <c r="CG65" i="6"/>
  <c r="CG69" i="6"/>
  <c r="CG73" i="6"/>
  <c r="CG81" i="6"/>
  <c r="CG85" i="6"/>
  <c r="CG89" i="6"/>
  <c r="CG93" i="6"/>
  <c r="CG97" i="6"/>
  <c r="CG101" i="6"/>
  <c r="CG105" i="6"/>
  <c r="CG109" i="6"/>
  <c r="CG113" i="6"/>
  <c r="CG117" i="6"/>
  <c r="CG121" i="6"/>
  <c r="CG129" i="6"/>
  <c r="CG133" i="6"/>
  <c r="BZ20" i="6"/>
  <c r="BZ24" i="6"/>
  <c r="BZ28" i="6"/>
  <c r="BZ32" i="6"/>
  <c r="BZ36" i="6"/>
  <c r="BZ40" i="6"/>
  <c r="BZ44" i="6"/>
  <c r="BZ48" i="6"/>
  <c r="BZ52" i="6"/>
  <c r="BZ56" i="6"/>
  <c r="BZ60" i="6"/>
  <c r="BZ64" i="6"/>
  <c r="BZ68" i="6"/>
  <c r="BZ72" i="6"/>
  <c r="BZ80" i="6"/>
  <c r="BZ84" i="6"/>
  <c r="BZ88" i="6"/>
  <c r="BZ92" i="6"/>
  <c r="BZ96" i="6"/>
  <c r="BZ100" i="6"/>
  <c r="BZ104" i="6"/>
  <c r="BZ108" i="6"/>
  <c r="BZ112" i="6"/>
  <c r="BZ116" i="6"/>
  <c r="BZ120" i="6"/>
  <c r="BZ124" i="6"/>
  <c r="BZ128" i="6"/>
  <c r="BZ132" i="6"/>
  <c r="BZ16" i="6"/>
  <c r="BS18" i="6"/>
  <c r="BS22" i="6"/>
  <c r="BS26" i="6"/>
  <c r="BS30" i="6"/>
  <c r="BS34" i="6"/>
  <c r="BS38" i="6"/>
  <c r="BS42" i="6"/>
  <c r="BS46" i="6"/>
  <c r="BS50" i="6"/>
  <c r="BS54" i="6"/>
  <c r="BS58" i="6"/>
  <c r="BS62" i="6"/>
  <c r="BS66" i="6"/>
  <c r="BS70" i="6"/>
  <c r="BS74" i="6"/>
  <c r="BS78" i="6"/>
  <c r="BS82" i="6"/>
  <c r="BS86" i="6"/>
  <c r="BS90" i="6"/>
  <c r="BS94" i="6"/>
  <c r="BS98" i="6"/>
  <c r="BS102" i="6"/>
  <c r="BS106" i="6"/>
  <c r="BS110" i="6"/>
  <c r="BS114" i="6"/>
  <c r="BS118" i="6"/>
  <c r="BS122" i="6"/>
  <c r="BS126" i="6"/>
  <c r="BS130" i="6"/>
  <c r="BS134" i="6"/>
  <c r="BL20" i="6"/>
  <c r="BL24" i="6"/>
  <c r="BL28" i="6"/>
  <c r="BL32" i="6"/>
  <c r="BL36" i="6"/>
  <c r="BL40" i="6"/>
  <c r="BL44" i="6"/>
  <c r="BL52" i="6"/>
  <c r="BL56" i="6"/>
  <c r="BL60" i="6"/>
  <c r="BL64" i="6"/>
  <c r="BL68" i="6"/>
  <c r="BL72" i="6"/>
  <c r="BL76" i="6"/>
  <c r="BL80" i="6"/>
  <c r="BL84" i="6"/>
  <c r="BL88" i="6"/>
  <c r="BL92" i="6"/>
  <c r="BL96" i="6"/>
  <c r="BL100" i="6"/>
  <c r="BL104" i="6"/>
  <c r="BL108" i="6"/>
  <c r="BL112" i="6"/>
  <c r="BL116" i="6"/>
  <c r="BL120" i="6"/>
  <c r="BL124" i="6"/>
  <c r="BL128" i="6"/>
  <c r="BL132" i="6"/>
  <c r="BL16" i="6"/>
  <c r="BE20" i="6"/>
  <c r="BE24" i="6"/>
  <c r="BE28" i="6"/>
  <c r="BE32" i="6"/>
  <c r="BE36" i="6"/>
  <c r="BE40" i="6"/>
  <c r="BE44" i="6"/>
  <c r="BE48" i="6"/>
  <c r="BE52" i="6"/>
  <c r="BE56" i="6"/>
  <c r="BE60" i="6"/>
  <c r="BE64" i="6"/>
  <c r="BE68" i="6"/>
  <c r="BE72" i="6"/>
  <c r="BE76" i="6"/>
  <c r="BE80" i="6"/>
  <c r="BE84" i="6"/>
  <c r="BE88" i="6"/>
  <c r="BE92" i="6"/>
  <c r="BE96" i="6"/>
  <c r="BE100" i="6"/>
  <c r="BE104" i="6"/>
  <c r="BE108" i="6"/>
  <c r="BE112" i="6"/>
  <c r="BE116" i="6"/>
  <c r="BE120" i="6"/>
  <c r="BE124" i="6"/>
  <c r="BE128" i="6"/>
  <c r="BE132" i="6"/>
  <c r="BE16" i="6"/>
  <c r="AQ20" i="6"/>
  <c r="AQ24" i="6"/>
  <c r="AQ28" i="6"/>
  <c r="AQ32" i="6"/>
  <c r="AQ36" i="6"/>
  <c r="AQ40" i="6"/>
  <c r="AQ44" i="6"/>
  <c r="AQ48" i="6"/>
  <c r="AQ52" i="6"/>
  <c r="AQ56" i="6"/>
  <c r="AQ60" i="6"/>
  <c r="AQ64" i="6"/>
  <c r="AQ68" i="6"/>
  <c r="AQ72" i="6"/>
  <c r="AQ76" i="6"/>
  <c r="AQ80" i="6"/>
  <c r="AQ84" i="6"/>
  <c r="BE65" i="6"/>
  <c r="BE73" i="6"/>
  <c r="BE81" i="6"/>
  <c r="BE89" i="6"/>
  <c r="BE97" i="6"/>
  <c r="BE105" i="6"/>
  <c r="BE113" i="6"/>
  <c r="BE121" i="6"/>
  <c r="BE129" i="6"/>
  <c r="AQ17" i="6"/>
  <c r="AQ25" i="6"/>
  <c r="AQ33" i="6"/>
  <c r="AQ41" i="6"/>
  <c r="AQ49" i="6"/>
  <c r="AQ57" i="6"/>
  <c r="AQ65" i="6"/>
  <c r="AQ73" i="6"/>
  <c r="AQ81" i="6"/>
  <c r="AQ87" i="6"/>
  <c r="AQ91" i="6"/>
  <c r="AQ95" i="6"/>
  <c r="AQ99" i="6"/>
  <c r="AQ103" i="6"/>
  <c r="AQ107" i="6"/>
  <c r="AQ111" i="6"/>
  <c r="AQ115" i="6"/>
  <c r="AQ119" i="6"/>
  <c r="AQ123" i="6"/>
  <c r="AQ127" i="6"/>
  <c r="AQ131" i="6"/>
  <c r="AQ135" i="6"/>
  <c r="AX19" i="6"/>
  <c r="AX23" i="6"/>
  <c r="AX27" i="6"/>
  <c r="AX31" i="6"/>
  <c r="AX35" i="6"/>
  <c r="AX39" i="6"/>
  <c r="AX43" i="6"/>
  <c r="AX47" i="6"/>
  <c r="AX51" i="6"/>
  <c r="AX55" i="6"/>
  <c r="AX59" i="6"/>
  <c r="AX63" i="6"/>
  <c r="AX67" i="6"/>
  <c r="AX71" i="6"/>
  <c r="AX75" i="6"/>
  <c r="AX79" i="6"/>
  <c r="AX83" i="6"/>
  <c r="AX87" i="6"/>
  <c r="AX91" i="6"/>
  <c r="AX95" i="6"/>
  <c r="AX99" i="6"/>
  <c r="AX103" i="6"/>
  <c r="AX107" i="6"/>
  <c r="AX111" i="6"/>
  <c r="AX115" i="6"/>
  <c r="AX119" i="6"/>
  <c r="AX123" i="6"/>
  <c r="AX127" i="6"/>
  <c r="AX131" i="6"/>
  <c r="AX135" i="6"/>
  <c r="AJ18" i="6"/>
  <c r="AJ22" i="6"/>
  <c r="AJ26" i="6"/>
  <c r="AJ30" i="6"/>
  <c r="AJ34" i="6"/>
  <c r="AJ38" i="6"/>
  <c r="AJ42" i="6"/>
  <c r="AJ46" i="6"/>
  <c r="AJ50" i="6"/>
  <c r="AJ54" i="6"/>
  <c r="AJ58" i="6"/>
  <c r="AJ62" i="6"/>
  <c r="AJ66" i="6"/>
  <c r="AJ70" i="6"/>
  <c r="AJ74" i="6"/>
  <c r="AJ78" i="6"/>
  <c r="AJ82" i="6"/>
  <c r="AJ86" i="6"/>
  <c r="AJ90" i="6"/>
  <c r="AJ94" i="6"/>
  <c r="AJ98" i="6"/>
  <c r="AJ102" i="6"/>
  <c r="AJ106" i="6"/>
  <c r="AJ110" i="6"/>
  <c r="AJ114" i="6"/>
  <c r="AJ118" i="6"/>
  <c r="AJ122" i="6"/>
  <c r="AJ126" i="6"/>
  <c r="AJ130" i="6"/>
  <c r="AJ134" i="6"/>
  <c r="AC25" i="6"/>
  <c r="AC19" i="6"/>
  <c r="AC24" i="6"/>
  <c r="AC30" i="6"/>
  <c r="AC35" i="6"/>
  <c r="AC39" i="6"/>
  <c r="AC43" i="6"/>
  <c r="AC47" i="6"/>
  <c r="AC51" i="6"/>
  <c r="AC55" i="6"/>
  <c r="AC59" i="6"/>
  <c r="AC67" i="6"/>
  <c r="AC71" i="6"/>
  <c r="AC79" i="6"/>
  <c r="AC83" i="6"/>
  <c r="AC87" i="6"/>
  <c r="AC91" i="6"/>
  <c r="AC95" i="6"/>
  <c r="AC99" i="6"/>
  <c r="AC103" i="6"/>
  <c r="AC107" i="6"/>
  <c r="AC111" i="6"/>
  <c r="AC119" i="6"/>
  <c r="AC127" i="6"/>
  <c r="AC131" i="6"/>
  <c r="V18" i="6"/>
  <c r="V38" i="6"/>
  <c r="V58" i="6"/>
  <c r="V78" i="6"/>
  <c r="V98" i="6"/>
  <c r="V122" i="6"/>
  <c r="BE66" i="6"/>
  <c r="BE74" i="6"/>
  <c r="BE82" i="6"/>
  <c r="BE90" i="6"/>
  <c r="BE98" i="6"/>
  <c r="BE106" i="6"/>
  <c r="BE114" i="6"/>
  <c r="BE122" i="6"/>
  <c r="BE130" i="6"/>
  <c r="AQ18" i="6"/>
  <c r="AQ26" i="6"/>
  <c r="AQ34" i="6"/>
  <c r="AQ42" i="6"/>
  <c r="AQ50" i="6"/>
  <c r="AQ58" i="6"/>
  <c r="AQ66" i="6"/>
  <c r="AQ74" i="6"/>
  <c r="AQ82" i="6"/>
  <c r="AQ88" i="6"/>
  <c r="AQ92" i="6"/>
  <c r="AQ96" i="6"/>
  <c r="AQ100" i="6"/>
  <c r="AQ104" i="6"/>
  <c r="AQ108" i="6"/>
  <c r="AQ112" i="6"/>
  <c r="AQ116" i="6"/>
  <c r="AQ120" i="6"/>
  <c r="AQ124" i="6"/>
  <c r="AQ128" i="6"/>
  <c r="AQ132" i="6"/>
  <c r="AQ16" i="6"/>
  <c r="AX20" i="6"/>
  <c r="AX24" i="6"/>
  <c r="AX28" i="6"/>
  <c r="AX32" i="6"/>
  <c r="AX36" i="6"/>
  <c r="AX40" i="6"/>
  <c r="AX44" i="6"/>
  <c r="AX48" i="6"/>
  <c r="AX52" i="6"/>
  <c r="AX56" i="6"/>
  <c r="AX60" i="6"/>
  <c r="AX64" i="6"/>
  <c r="AX68" i="6"/>
  <c r="AX72" i="6"/>
  <c r="AX76" i="6"/>
  <c r="AX80" i="6"/>
  <c r="AX84" i="6"/>
  <c r="AX88" i="6"/>
  <c r="AX92" i="6"/>
  <c r="AX96" i="6"/>
  <c r="AX100" i="6"/>
  <c r="AX104" i="6"/>
  <c r="AX108" i="6"/>
  <c r="AX112" i="6"/>
  <c r="AX116" i="6"/>
  <c r="AX120" i="6"/>
  <c r="AX124" i="6"/>
  <c r="AX128" i="6"/>
  <c r="AX132" i="6"/>
  <c r="AX16" i="6"/>
  <c r="AJ19" i="6"/>
  <c r="AJ23" i="6"/>
  <c r="AJ27" i="6"/>
  <c r="AJ31" i="6"/>
  <c r="AJ35" i="6"/>
  <c r="AJ39" i="6"/>
  <c r="AJ43" i="6"/>
  <c r="AJ47" i="6"/>
  <c r="AJ51" i="6"/>
  <c r="AJ55" i="6"/>
  <c r="AJ59" i="6"/>
  <c r="AJ63" i="6"/>
  <c r="AJ67" i="6"/>
  <c r="AJ71" i="6"/>
  <c r="AJ75" i="6"/>
  <c r="AJ79" i="6"/>
  <c r="AJ83" i="6"/>
  <c r="AJ87" i="6"/>
  <c r="AJ91" i="6"/>
  <c r="AJ95" i="6"/>
  <c r="AJ99" i="6"/>
  <c r="AJ103" i="6"/>
  <c r="AJ107" i="6"/>
  <c r="AJ111" i="6"/>
  <c r="AJ115" i="6"/>
  <c r="AJ119" i="6"/>
  <c r="AJ123" i="6"/>
  <c r="AJ127" i="6"/>
  <c r="AJ131" i="6"/>
  <c r="AJ135" i="6"/>
  <c r="AC21" i="6"/>
  <c r="AC20" i="6"/>
  <c r="AC26" i="6"/>
  <c r="AC31" i="6"/>
  <c r="AC36" i="6"/>
  <c r="AC40" i="6"/>
  <c r="AC44" i="6"/>
  <c r="AC48" i="6"/>
  <c r="AC52" i="6"/>
  <c r="AC56" i="6"/>
  <c r="AC60" i="6"/>
  <c r="AC64" i="6"/>
  <c r="AC68" i="6"/>
  <c r="AC72" i="6"/>
  <c r="AC76" i="6"/>
  <c r="AC80" i="6"/>
  <c r="AC84" i="6"/>
  <c r="AC88" i="6"/>
  <c r="AC92" i="6"/>
  <c r="AC96" i="6"/>
  <c r="AC100" i="6"/>
  <c r="AC104" i="6"/>
  <c r="AC108" i="6"/>
  <c r="AC112" i="6"/>
  <c r="AC116" i="6"/>
  <c r="AC120" i="6"/>
  <c r="AC124" i="6"/>
  <c r="AC128" i="6"/>
  <c r="AC132" i="6"/>
  <c r="AC16" i="6"/>
  <c r="V19" i="6"/>
  <c r="V23" i="6"/>
  <c r="V27" i="6"/>
  <c r="V31" i="6"/>
  <c r="V35" i="6"/>
  <c r="V39" i="6"/>
  <c r="V43" i="6"/>
  <c r="V47" i="6"/>
  <c r="V51" i="6"/>
  <c r="V55" i="6"/>
  <c r="V59" i="6"/>
  <c r="V63" i="6"/>
  <c r="V67" i="6"/>
  <c r="BE69" i="6"/>
  <c r="BE77" i="6"/>
  <c r="BE85" i="6"/>
  <c r="BE93" i="6"/>
  <c r="BE101" i="6"/>
  <c r="BE109" i="6"/>
  <c r="BE117" i="6"/>
  <c r="BE125" i="6"/>
  <c r="BE133" i="6"/>
  <c r="AQ29" i="6"/>
  <c r="AQ37" i="6"/>
  <c r="AQ45" i="6"/>
  <c r="AQ53" i="6"/>
  <c r="AQ61" i="6"/>
  <c r="AQ69" i="6"/>
  <c r="AQ77" i="6"/>
  <c r="AQ85" i="6"/>
  <c r="AQ89" i="6"/>
  <c r="AQ93" i="6"/>
  <c r="AQ97" i="6"/>
  <c r="AQ101" i="6"/>
  <c r="AQ105" i="6"/>
  <c r="AQ109" i="6"/>
  <c r="AQ113" i="6"/>
  <c r="AQ117" i="6"/>
  <c r="AQ121" i="6"/>
  <c r="AQ125" i="6"/>
  <c r="AQ129" i="6"/>
  <c r="AQ133" i="6"/>
  <c r="AX17" i="6"/>
  <c r="AX21" i="6"/>
  <c r="AX25" i="6"/>
  <c r="AX29" i="6"/>
  <c r="AX33" i="6"/>
  <c r="AX37" i="6"/>
  <c r="AX41" i="6"/>
  <c r="AX45" i="6"/>
  <c r="AX49" i="6"/>
  <c r="AX53" i="6"/>
  <c r="AX57" i="6"/>
  <c r="AX61" i="6"/>
  <c r="AX65" i="6"/>
  <c r="AX69" i="6"/>
  <c r="AX73" i="6"/>
  <c r="AX77" i="6"/>
  <c r="AX81" i="6"/>
  <c r="AX85" i="6"/>
  <c r="AX89" i="6"/>
  <c r="AX93" i="6"/>
  <c r="AX97" i="6"/>
  <c r="AX101" i="6"/>
  <c r="AX105" i="6"/>
  <c r="AX109" i="6"/>
  <c r="AX113" i="6"/>
  <c r="AX117" i="6"/>
  <c r="AX121" i="6"/>
  <c r="AX125" i="6"/>
  <c r="AX129" i="6"/>
  <c r="AX133" i="6"/>
  <c r="AJ20" i="6"/>
  <c r="AJ24" i="6"/>
  <c r="AJ28" i="6"/>
  <c r="AJ32" i="6"/>
  <c r="AJ36" i="6"/>
  <c r="AJ40" i="6"/>
  <c r="AJ44" i="6"/>
  <c r="AJ48" i="6"/>
  <c r="AJ52" i="6"/>
  <c r="AJ56" i="6"/>
  <c r="AJ60" i="6"/>
  <c r="AJ64" i="6"/>
  <c r="AJ68" i="6"/>
  <c r="AJ72" i="6"/>
  <c r="AJ76" i="6"/>
  <c r="AJ80" i="6"/>
  <c r="AJ84" i="6"/>
  <c r="AJ88" i="6"/>
  <c r="AJ92" i="6"/>
  <c r="AJ96" i="6"/>
  <c r="AJ100" i="6"/>
  <c r="AJ104" i="6"/>
  <c r="AJ108" i="6"/>
  <c r="AJ112" i="6"/>
  <c r="AJ116" i="6"/>
  <c r="AJ120" i="6"/>
  <c r="AJ124" i="6"/>
  <c r="AJ128" i="6"/>
  <c r="AJ132" i="6"/>
  <c r="AJ16" i="6"/>
  <c r="AC33" i="6"/>
  <c r="AC17" i="6"/>
  <c r="AC22" i="6"/>
  <c r="AC27" i="6"/>
  <c r="AC32" i="6"/>
  <c r="AC37" i="6"/>
  <c r="AC41" i="6"/>
  <c r="AC45" i="6"/>
  <c r="AC49" i="6"/>
  <c r="AC53" i="6"/>
  <c r="AC57" i="6"/>
  <c r="AC61" i="6"/>
  <c r="AC65" i="6"/>
  <c r="AC69" i="6"/>
  <c r="AC73" i="6"/>
  <c r="AC77" i="6"/>
  <c r="AC81" i="6"/>
  <c r="AC85" i="6"/>
  <c r="AC89" i="6"/>
  <c r="AC93" i="6"/>
  <c r="AC97" i="6"/>
  <c r="AC101" i="6"/>
  <c r="AC105" i="6"/>
  <c r="AC109" i="6"/>
  <c r="AC113" i="6"/>
  <c r="AC117" i="6"/>
  <c r="AC121" i="6"/>
  <c r="AC125" i="6"/>
  <c r="AC129" i="6"/>
  <c r="AC133" i="6"/>
  <c r="V20" i="6"/>
  <c r="V24" i="6"/>
  <c r="V28" i="6"/>
  <c r="V32" i="6"/>
  <c r="V36" i="6"/>
  <c r="V40" i="6"/>
  <c r="V44" i="6"/>
  <c r="V48" i="6"/>
  <c r="V52" i="6"/>
  <c r="V56" i="6"/>
  <c r="V60" i="6"/>
  <c r="V64" i="6"/>
  <c r="V68" i="6"/>
  <c r="V72" i="6"/>
  <c r="V76" i="6"/>
  <c r="V80" i="6"/>
  <c r="V84" i="6"/>
  <c r="V88" i="6"/>
  <c r="V92" i="6"/>
  <c r="V96" i="6"/>
  <c r="V100" i="6"/>
  <c r="V104" i="6"/>
  <c r="V108" i="6"/>
  <c r="V112" i="6"/>
  <c r="V116" i="6"/>
  <c r="V120" i="6"/>
  <c r="V124" i="6"/>
  <c r="V128" i="6"/>
  <c r="V132" i="6"/>
  <c r="V16" i="6"/>
  <c r="AC123" i="6"/>
  <c r="AC135" i="6"/>
  <c r="V26" i="6"/>
  <c r="V34" i="6"/>
  <c r="V46" i="6"/>
  <c r="V54" i="6"/>
  <c r="V66" i="6"/>
  <c r="V74" i="6"/>
  <c r="V86" i="6"/>
  <c r="V94" i="6"/>
  <c r="V106" i="6"/>
  <c r="V114" i="6"/>
  <c r="V130" i="6"/>
  <c r="V134" i="6"/>
  <c r="BE70" i="6"/>
  <c r="BE78" i="6"/>
  <c r="BE86" i="6"/>
  <c r="BE94" i="6"/>
  <c r="BE102" i="6"/>
  <c r="BE110" i="6"/>
  <c r="BE118" i="6"/>
  <c r="BE126" i="6"/>
  <c r="BE134" i="6"/>
  <c r="AQ22" i="6"/>
  <c r="AQ30" i="6"/>
  <c r="AQ38" i="6"/>
  <c r="AQ46" i="6"/>
  <c r="AQ54" i="6"/>
  <c r="AQ62" i="6"/>
  <c r="AQ70" i="6"/>
  <c r="AQ78" i="6"/>
  <c r="AQ86" i="6"/>
  <c r="AQ90" i="6"/>
  <c r="AQ94" i="6"/>
  <c r="AQ98" i="6"/>
  <c r="AQ102" i="6"/>
  <c r="AQ106" i="6"/>
  <c r="AQ110" i="6"/>
  <c r="AQ114" i="6"/>
  <c r="AQ118" i="6"/>
  <c r="AQ122" i="6"/>
  <c r="AQ126" i="6"/>
  <c r="AQ130" i="6"/>
  <c r="AQ134" i="6"/>
  <c r="AX18" i="6"/>
  <c r="AX22" i="6"/>
  <c r="AX26" i="6"/>
  <c r="AX30" i="6"/>
  <c r="AX34" i="6"/>
  <c r="AX38" i="6"/>
  <c r="AX42" i="6"/>
  <c r="AX46" i="6"/>
  <c r="AX50" i="6"/>
  <c r="AX54" i="6"/>
  <c r="AX58" i="6"/>
  <c r="AX62" i="6"/>
  <c r="AX66" i="6"/>
  <c r="AX70" i="6"/>
  <c r="AX74" i="6"/>
  <c r="AX78" i="6"/>
  <c r="AX82" i="6"/>
  <c r="AX86" i="6"/>
  <c r="AX90" i="6"/>
  <c r="AX98" i="6"/>
  <c r="AX102" i="6"/>
  <c r="AX106" i="6"/>
  <c r="AX110" i="6"/>
  <c r="AX114" i="6"/>
  <c r="AX118" i="6"/>
  <c r="AX122" i="6"/>
  <c r="AX126" i="6"/>
  <c r="AX130" i="6"/>
  <c r="AX134" i="6"/>
  <c r="AJ17" i="6"/>
  <c r="AJ21" i="6"/>
  <c r="AJ25" i="6"/>
  <c r="AJ29" i="6"/>
  <c r="AJ33" i="6"/>
  <c r="AJ37" i="6"/>
  <c r="AJ41" i="6"/>
  <c r="AJ45" i="6"/>
  <c r="AJ49" i="6"/>
  <c r="AJ53" i="6"/>
  <c r="AJ57" i="6"/>
  <c r="AJ61" i="6"/>
  <c r="AJ65" i="6"/>
  <c r="AJ69" i="6"/>
  <c r="AJ73" i="6"/>
  <c r="AJ77" i="6"/>
  <c r="AJ81" i="6"/>
  <c r="AJ85" i="6"/>
  <c r="AJ89" i="6"/>
  <c r="AJ93" i="6"/>
  <c r="AJ97" i="6"/>
  <c r="AJ101" i="6"/>
  <c r="AJ105" i="6"/>
  <c r="AJ109" i="6"/>
  <c r="AJ113" i="6"/>
  <c r="AJ117" i="6"/>
  <c r="AJ121" i="6"/>
  <c r="AJ125" i="6"/>
  <c r="AJ129" i="6"/>
  <c r="AJ133" i="6"/>
  <c r="AC29" i="6"/>
  <c r="AC18" i="6"/>
  <c r="AC23" i="6"/>
  <c r="AC28" i="6"/>
  <c r="AC34" i="6"/>
  <c r="AC38" i="6"/>
  <c r="AC42" i="6"/>
  <c r="AC46" i="6"/>
  <c r="AC50" i="6"/>
  <c r="AC54" i="6"/>
  <c r="AC58" i="6"/>
  <c r="AC62" i="6"/>
  <c r="AC66" i="6"/>
  <c r="AC70" i="6"/>
  <c r="AC74" i="6"/>
  <c r="AC78" i="6"/>
  <c r="AC82" i="6"/>
  <c r="AC86" i="6"/>
  <c r="AC90" i="6"/>
  <c r="AC94" i="6"/>
  <c r="AC98" i="6"/>
  <c r="AC102" i="6"/>
  <c r="AC110" i="6"/>
  <c r="AC114" i="6"/>
  <c r="AC118" i="6"/>
  <c r="AC122" i="6"/>
  <c r="AC126" i="6"/>
  <c r="AC130" i="6"/>
  <c r="AC134" i="6"/>
  <c r="V17" i="6"/>
  <c r="V21" i="6"/>
  <c r="V25" i="6"/>
  <c r="V29" i="6"/>
  <c r="V33" i="6"/>
  <c r="V37" i="6"/>
  <c r="V41" i="6"/>
  <c r="V45" i="6"/>
  <c r="V49" i="6"/>
  <c r="V53" i="6"/>
  <c r="V57" i="6"/>
  <c r="V61" i="6"/>
  <c r="V65" i="6"/>
  <c r="V69" i="6"/>
  <c r="V73" i="6"/>
  <c r="V77" i="6"/>
  <c r="V81" i="6"/>
  <c r="V85" i="6"/>
  <c r="V89" i="6"/>
  <c r="V97" i="6"/>
  <c r="V101" i="6"/>
  <c r="V105" i="6"/>
  <c r="V109" i="6"/>
  <c r="V113" i="6"/>
  <c r="V117" i="6"/>
  <c r="V121" i="6"/>
  <c r="V125" i="6"/>
  <c r="V129" i="6"/>
  <c r="V133" i="6"/>
  <c r="AC115" i="6"/>
  <c r="V22" i="6"/>
  <c r="V30" i="6"/>
  <c r="V42" i="6"/>
  <c r="V50" i="6"/>
  <c r="V62" i="6"/>
  <c r="V70" i="6"/>
  <c r="V82" i="6"/>
  <c r="V90" i="6"/>
  <c r="V102" i="6"/>
  <c r="V110" i="6"/>
  <c r="V118" i="6"/>
  <c r="V126" i="6"/>
  <c r="O16" i="6"/>
  <c r="P39" i="6" s="1"/>
  <c r="V79" i="6"/>
  <c r="V95" i="6"/>
  <c r="V111" i="6"/>
  <c r="V127" i="6"/>
  <c r="V71" i="6"/>
  <c r="V103" i="6"/>
  <c r="V135" i="6"/>
  <c r="V75" i="6"/>
  <c r="V107" i="6"/>
  <c r="V83" i="6"/>
  <c r="V99" i="6"/>
  <c r="V115" i="6"/>
  <c r="V131" i="6"/>
  <c r="V87" i="6"/>
  <c r="V119" i="6"/>
  <c r="V91" i="6"/>
  <c r="V123" i="6"/>
  <c r="Q104" i="6"/>
  <c r="P116" i="6"/>
  <c r="P46" i="6"/>
  <c r="P83" i="6"/>
  <c r="P25" i="6"/>
  <c r="P22" i="6"/>
  <c r="P109" i="6"/>
  <c r="P92" i="6"/>
  <c r="P114" i="6"/>
  <c r="P115" i="6"/>
  <c r="P45" i="6"/>
  <c r="Q24" i="6"/>
  <c r="Q96" i="6"/>
  <c r="Q48" i="6"/>
  <c r="Q128" i="6"/>
  <c r="F28" i="6"/>
  <c r="H27" i="6"/>
  <c r="G28" i="6" s="1"/>
  <c r="Q80" i="6"/>
  <c r="E25" i="7"/>
  <c r="P102" i="6" l="1"/>
  <c r="P44" i="6"/>
  <c r="P23" i="6"/>
  <c r="P55" i="6"/>
  <c r="P62" i="6"/>
  <c r="ET112" i="6"/>
  <c r="ET96" i="6"/>
  <c r="P98" i="6"/>
  <c r="Q16" i="6"/>
  <c r="P61" i="6"/>
  <c r="P66" i="6"/>
  <c r="P82" i="6"/>
  <c r="CW24" i="6"/>
  <c r="P28" i="6"/>
  <c r="P19" i="6"/>
  <c r="P50" i="6"/>
  <c r="P84" i="6"/>
  <c r="P118" i="6"/>
  <c r="P135" i="6"/>
  <c r="P129" i="6"/>
  <c r="P58" i="6"/>
  <c r="P107" i="6"/>
  <c r="P106" i="6"/>
  <c r="P103" i="6"/>
  <c r="P111" i="6"/>
  <c r="P31" i="6"/>
  <c r="P72" i="6"/>
  <c r="P113" i="6"/>
  <c r="P132" i="6"/>
  <c r="P56" i="6"/>
  <c r="P94" i="6"/>
  <c r="P80" i="6"/>
  <c r="P63" i="6"/>
  <c r="P86" i="6"/>
  <c r="P119" i="6"/>
  <c r="P91" i="6"/>
  <c r="P110" i="6"/>
  <c r="P37" i="6"/>
  <c r="P36" i="6"/>
  <c r="P74" i="6"/>
  <c r="P79" i="6"/>
  <c r="P108" i="6"/>
  <c r="P75" i="6"/>
  <c r="P125" i="6"/>
  <c r="P97" i="6"/>
  <c r="P117" i="6"/>
  <c r="P24" i="6"/>
  <c r="P59" i="6"/>
  <c r="P78" i="6"/>
  <c r="P131" i="6"/>
  <c r="P41" i="6"/>
  <c r="P34" i="6"/>
  <c r="P122" i="6"/>
  <c r="P100" i="6"/>
  <c r="V137" i="6"/>
  <c r="CW88" i="6"/>
  <c r="P85" i="6"/>
  <c r="P67" i="6"/>
  <c r="P101" i="6"/>
  <c r="P73" i="6"/>
  <c r="P95" i="6"/>
  <c r="P105" i="6"/>
  <c r="P124" i="6"/>
  <c r="P49" i="6"/>
  <c r="P54" i="6"/>
  <c r="P68" i="6"/>
  <c r="P71" i="6"/>
  <c r="P57" i="6"/>
  <c r="P112" i="6"/>
  <c r="P30" i="6"/>
  <c r="P69" i="6"/>
  <c r="P88" i="6"/>
  <c r="P33" i="6"/>
  <c r="P70" i="6"/>
  <c r="P104" i="6"/>
  <c r="P76" i="6"/>
  <c r="P93" i="6"/>
  <c r="P47" i="6"/>
  <c r="P48" i="6"/>
  <c r="P96" i="6"/>
  <c r="P89" i="6"/>
  <c r="P60" i="6"/>
  <c r="P123" i="6"/>
  <c r="P126" i="6"/>
  <c r="P26" i="6"/>
  <c r="P64" i="6"/>
  <c r="P27" i="6"/>
  <c r="P51" i="6"/>
  <c r="P38" i="6"/>
  <c r="P127" i="6"/>
  <c r="P40" i="6"/>
  <c r="P52" i="6"/>
  <c r="P81" i="6"/>
  <c r="P21" i="6"/>
  <c r="P35" i="6"/>
  <c r="BG56" i="6"/>
  <c r="BG40" i="6"/>
  <c r="BG24" i="6"/>
  <c r="BN128" i="6"/>
  <c r="BN112" i="6"/>
  <c r="BN96" i="6"/>
  <c r="BN80" i="6"/>
  <c r="CB56" i="6"/>
  <c r="CB40" i="6"/>
  <c r="CB24" i="6"/>
  <c r="CW120" i="6"/>
  <c r="CW80" i="6"/>
  <c r="P53" i="6"/>
  <c r="P65" i="6"/>
  <c r="P87" i="6"/>
  <c r="P99" i="6"/>
  <c r="P130" i="6"/>
  <c r="P133" i="6"/>
  <c r="P20" i="6"/>
  <c r="P90" i="6"/>
  <c r="P121" i="6"/>
  <c r="P32" i="6"/>
  <c r="P120" i="6"/>
  <c r="P134" i="6"/>
  <c r="P77" i="6"/>
  <c r="P42" i="6"/>
  <c r="P43" i="6"/>
  <c r="P128" i="6"/>
  <c r="P29" i="6"/>
  <c r="BG48" i="6"/>
  <c r="BG32" i="6"/>
  <c r="BN120" i="6"/>
  <c r="BN104" i="6"/>
  <c r="BN88" i="6"/>
  <c r="BN72" i="6"/>
  <c r="CW56" i="6"/>
  <c r="BN40" i="6"/>
  <c r="BN24" i="6"/>
  <c r="CB120" i="6"/>
  <c r="CB104" i="6"/>
  <c r="CB88" i="6"/>
  <c r="CW72" i="6"/>
  <c r="ET80" i="6"/>
  <c r="ET64" i="6"/>
  <c r="BN56" i="6"/>
  <c r="CB48" i="6"/>
  <c r="CB32" i="6"/>
  <c r="ET32" i="6"/>
  <c r="BN32" i="6"/>
  <c r="CB128" i="6"/>
  <c r="CB112" i="6"/>
  <c r="CB96" i="6"/>
  <c r="CB80" i="6"/>
  <c r="CW96" i="6"/>
  <c r="CW32" i="6"/>
  <c r="ET128" i="6"/>
  <c r="Q137" i="6"/>
  <c r="P16" i="6"/>
  <c r="P18" i="6"/>
  <c r="P17" i="6"/>
  <c r="X128" i="6"/>
  <c r="X112" i="6"/>
  <c r="X96" i="6"/>
  <c r="X80" i="6"/>
  <c r="X64" i="6"/>
  <c r="X48" i="6"/>
  <c r="X32" i="6"/>
  <c r="AL128" i="6"/>
  <c r="AL112" i="6"/>
  <c r="AL96" i="6"/>
  <c r="AL80" i="6"/>
  <c r="AL64" i="6"/>
  <c r="AL48" i="6"/>
  <c r="AL32" i="6"/>
  <c r="AE24" i="6"/>
  <c r="AK24" i="6"/>
  <c r="CH41" i="6"/>
  <c r="CH62" i="6"/>
  <c r="CH38" i="6"/>
  <c r="CH72" i="6"/>
  <c r="CH16" i="6"/>
  <c r="CH31" i="6"/>
  <c r="CH48" i="6"/>
  <c r="CH63" i="6"/>
  <c r="CH60" i="6"/>
  <c r="CH19" i="6"/>
  <c r="CH40" i="6"/>
  <c r="CH70" i="6"/>
  <c r="CH22" i="6"/>
  <c r="CH37" i="6"/>
  <c r="CH45" i="6"/>
  <c r="CH73" i="6"/>
  <c r="CH49" i="6"/>
  <c r="CH25" i="6"/>
  <c r="CH42" i="6"/>
  <c r="CH57" i="6"/>
  <c r="CH74" i="6"/>
  <c r="CH28" i="6"/>
  <c r="CH64" i="6"/>
  <c r="CH21" i="6"/>
  <c r="CH51" i="6"/>
  <c r="CI16" i="6"/>
  <c r="CH24" i="6"/>
  <c r="CH26" i="6"/>
  <c r="CH47" i="6"/>
  <c r="CH17" i="6"/>
  <c r="CH53" i="6"/>
  <c r="CH27" i="6"/>
  <c r="CH44" i="6"/>
  <c r="CH59" i="6"/>
  <c r="CH76" i="6"/>
  <c r="CH32" i="6"/>
  <c r="CH75" i="6"/>
  <c r="CH34" i="6"/>
  <c r="CH55" i="6"/>
  <c r="CH18" i="6"/>
  <c r="CH33" i="6"/>
  <c r="CH50" i="6"/>
  <c r="CH65" i="6"/>
  <c r="CH30" i="6"/>
  <c r="CH58" i="6"/>
  <c r="CH23" i="6"/>
  <c r="CH68" i="6"/>
  <c r="CH29" i="6"/>
  <c r="CH46" i="6"/>
  <c r="CH61" i="6"/>
  <c r="CH43" i="6"/>
  <c r="CH36" i="6"/>
  <c r="CH66" i="6"/>
  <c r="CH20" i="6"/>
  <c r="CH35" i="6"/>
  <c r="CH52" i="6"/>
  <c r="CH67" i="6"/>
  <c r="CH56" i="6"/>
  <c r="CH69" i="6"/>
  <c r="CH39" i="6"/>
  <c r="CH71" i="6"/>
  <c r="CH54" i="6"/>
  <c r="BU128" i="6"/>
  <c r="BU112" i="6"/>
  <c r="BU96" i="6"/>
  <c r="BU80" i="6"/>
  <c r="BU64" i="6"/>
  <c r="BU48" i="6"/>
  <c r="BU32" i="6"/>
  <c r="CV16" i="6"/>
  <c r="CV23" i="6"/>
  <c r="CV40" i="6"/>
  <c r="CV30" i="6"/>
  <c r="CV27" i="6"/>
  <c r="CV32" i="6"/>
  <c r="CV18" i="6"/>
  <c r="CV33" i="6"/>
  <c r="CV26" i="6"/>
  <c r="CV17" i="6"/>
  <c r="CV34" i="6"/>
  <c r="CV41" i="6"/>
  <c r="CV29" i="6"/>
  <c r="CV20" i="6"/>
  <c r="CV35" i="6"/>
  <c r="CV19" i="6"/>
  <c r="CV36" i="6"/>
  <c r="CV31" i="6"/>
  <c r="CV22" i="6"/>
  <c r="CV37" i="6"/>
  <c r="CV21" i="6"/>
  <c r="CV38" i="6"/>
  <c r="CV25" i="6"/>
  <c r="CV42" i="6"/>
  <c r="CV28" i="6"/>
  <c r="CW16" i="6"/>
  <c r="CV24" i="6"/>
  <c r="CV39" i="6"/>
  <c r="CW48" i="6"/>
  <c r="CP128" i="6"/>
  <c r="CP112" i="6"/>
  <c r="CP96" i="6"/>
  <c r="CP80" i="6"/>
  <c r="CP64" i="6"/>
  <c r="CP48" i="6"/>
  <c r="CP32" i="6"/>
  <c r="DD128" i="6"/>
  <c r="DD112" i="6"/>
  <c r="DD96" i="6"/>
  <c r="DD80" i="6"/>
  <c r="DD64" i="6"/>
  <c r="DD48" i="6"/>
  <c r="DK72" i="6"/>
  <c r="ET88" i="6"/>
  <c r="EF112" i="6"/>
  <c r="EF80" i="6"/>
  <c r="EF48" i="6"/>
  <c r="EM128" i="6"/>
  <c r="EM96" i="6"/>
  <c r="EM64" i="6"/>
  <c r="EM32" i="6"/>
  <c r="AE32" i="6"/>
  <c r="AD22" i="6"/>
  <c r="AD28" i="6"/>
  <c r="AD19" i="6"/>
  <c r="AD53" i="6"/>
  <c r="AD16" i="6"/>
  <c r="AD35" i="6"/>
  <c r="AD29" i="6"/>
  <c r="AD61" i="6"/>
  <c r="AD20" i="6"/>
  <c r="AD50" i="6"/>
  <c r="AD30" i="6"/>
  <c r="AD45" i="6"/>
  <c r="AD62" i="6"/>
  <c r="AD21" i="6"/>
  <c r="AD18" i="6"/>
  <c r="AD24" i="6"/>
  <c r="AD37" i="6"/>
  <c r="AD31" i="6"/>
  <c r="AD25" i="6"/>
  <c r="AD57" i="6"/>
  <c r="AD32" i="6"/>
  <c r="AD47" i="6"/>
  <c r="AD23" i="6"/>
  <c r="AD40" i="6"/>
  <c r="AD55" i="6"/>
  <c r="AD59" i="6"/>
  <c r="AD54" i="6"/>
  <c r="AD42" i="6"/>
  <c r="AD60" i="6"/>
  <c r="AD51" i="6"/>
  <c r="AD38" i="6"/>
  <c r="AD27" i="6"/>
  <c r="AD52" i="6"/>
  <c r="AD44" i="6"/>
  <c r="AD46" i="6"/>
  <c r="AD48" i="6"/>
  <c r="AD39" i="6"/>
  <c r="AD33" i="6"/>
  <c r="AD26" i="6"/>
  <c r="AD41" i="6"/>
  <c r="AD58" i="6"/>
  <c r="AD17" i="6"/>
  <c r="AD34" i="6"/>
  <c r="AD49" i="6"/>
  <c r="AE16" i="6"/>
  <c r="AD56" i="6"/>
  <c r="AD43" i="6"/>
  <c r="AD36" i="6"/>
  <c r="AE120" i="6"/>
  <c r="AE88" i="6"/>
  <c r="AE40" i="6"/>
  <c r="AY16" i="6"/>
  <c r="AY20" i="6"/>
  <c r="AY59" i="6"/>
  <c r="AY44" i="6"/>
  <c r="AY91" i="6"/>
  <c r="AY29" i="6"/>
  <c r="AY18" i="6"/>
  <c r="AY61" i="6"/>
  <c r="AY42" i="6"/>
  <c r="AZ16" i="6"/>
  <c r="AY80" i="6"/>
  <c r="AY27" i="6"/>
  <c r="AY63" i="6"/>
  <c r="AY25" i="6"/>
  <c r="AY89" i="6"/>
  <c r="AY57" i="6"/>
  <c r="AY48" i="6"/>
  <c r="AY74" i="6"/>
  <c r="AY76" i="6"/>
  <c r="AY46" i="6"/>
  <c r="AY93" i="6"/>
  <c r="AY31" i="6"/>
  <c r="AY78" i="6"/>
  <c r="AY22" i="6"/>
  <c r="AY37" i="6"/>
  <c r="AY54" i="6"/>
  <c r="AY69" i="6"/>
  <c r="AY86" i="6"/>
  <c r="AY30" i="6"/>
  <c r="AY45" i="6"/>
  <c r="AY62" i="6"/>
  <c r="AY77" i="6"/>
  <c r="AY21" i="6"/>
  <c r="AY38" i="6"/>
  <c r="AY53" i="6"/>
  <c r="AY70" i="6"/>
  <c r="AY85" i="6"/>
  <c r="AY24" i="6"/>
  <c r="AY39" i="6"/>
  <c r="AY56" i="6"/>
  <c r="AY71" i="6"/>
  <c r="AY88" i="6"/>
  <c r="AY32" i="6"/>
  <c r="AY47" i="6"/>
  <c r="AY64" i="6"/>
  <c r="AY79" i="6"/>
  <c r="AY23" i="6"/>
  <c r="AY40" i="6"/>
  <c r="AY55" i="6"/>
  <c r="AY72" i="6"/>
  <c r="AY87" i="6"/>
  <c r="AY33" i="6"/>
  <c r="AY50" i="6"/>
  <c r="AY65" i="6"/>
  <c r="AY82" i="6"/>
  <c r="AY26" i="6"/>
  <c r="AY41" i="6"/>
  <c r="AY58" i="6"/>
  <c r="AY73" i="6"/>
  <c r="AY90" i="6"/>
  <c r="AY17" i="6"/>
  <c r="AY34" i="6"/>
  <c r="AY49" i="6"/>
  <c r="AY66" i="6"/>
  <c r="AY81" i="6"/>
  <c r="AY35" i="6"/>
  <c r="AY52" i="6"/>
  <c r="AY67" i="6"/>
  <c r="AY84" i="6"/>
  <c r="AY28" i="6"/>
  <c r="AY43" i="6"/>
  <c r="AY60" i="6"/>
  <c r="AY75" i="6"/>
  <c r="AY92" i="6"/>
  <c r="AY19" i="6"/>
  <c r="AY36" i="6"/>
  <c r="AY51" i="6"/>
  <c r="AY68" i="6"/>
  <c r="AY83" i="6"/>
  <c r="AZ120" i="6"/>
  <c r="AZ104" i="6"/>
  <c r="AZ72" i="6"/>
  <c r="AZ56" i="6"/>
  <c r="AZ40" i="6"/>
  <c r="AZ24" i="6"/>
  <c r="AS128" i="6"/>
  <c r="AS112" i="6"/>
  <c r="AS96" i="6"/>
  <c r="AS72" i="6"/>
  <c r="AS56" i="6"/>
  <c r="AS40" i="6"/>
  <c r="AS24" i="6"/>
  <c r="BG128" i="6"/>
  <c r="BG112" i="6"/>
  <c r="BG96" i="6"/>
  <c r="BG80" i="6"/>
  <c r="BG64" i="6"/>
  <c r="BM16" i="6"/>
  <c r="BM17" i="6"/>
  <c r="BM34" i="6"/>
  <c r="BM30" i="6"/>
  <c r="BM31" i="6"/>
  <c r="BM45" i="6"/>
  <c r="BM20" i="6"/>
  <c r="BM35" i="6"/>
  <c r="BM19" i="6"/>
  <c r="BM36" i="6"/>
  <c r="BM43" i="6"/>
  <c r="BM25" i="6"/>
  <c r="BM42" i="6"/>
  <c r="BM28" i="6"/>
  <c r="BM22" i="6"/>
  <c r="BM37" i="6"/>
  <c r="BM40" i="6"/>
  <c r="BM26" i="6"/>
  <c r="BM46" i="6"/>
  <c r="BM41" i="6"/>
  <c r="BM18" i="6"/>
  <c r="BM21" i="6"/>
  <c r="BM47" i="6"/>
  <c r="BM27" i="6"/>
  <c r="BM24" i="6"/>
  <c r="BM23" i="6"/>
  <c r="BM29" i="6"/>
  <c r="BM33" i="6"/>
  <c r="BM38" i="6"/>
  <c r="BM44" i="6"/>
  <c r="BM32" i="6"/>
  <c r="BN16" i="6"/>
  <c r="BM39" i="6"/>
  <c r="CA16" i="6"/>
  <c r="CA45" i="6"/>
  <c r="CA17" i="6"/>
  <c r="CA34" i="6"/>
  <c r="CA49" i="6"/>
  <c r="CA32" i="6"/>
  <c r="CA25" i="6"/>
  <c r="CA42" i="6"/>
  <c r="CA57" i="6"/>
  <c r="CA30" i="6"/>
  <c r="CA22" i="6"/>
  <c r="CA37" i="6"/>
  <c r="CA54" i="6"/>
  <c r="CA58" i="6"/>
  <c r="CA19" i="6"/>
  <c r="CA36" i="6"/>
  <c r="CA51" i="6"/>
  <c r="CA41" i="6"/>
  <c r="CA27" i="6"/>
  <c r="CA44" i="6"/>
  <c r="CA59" i="6"/>
  <c r="CA43" i="6"/>
  <c r="CB16" i="6"/>
  <c r="CA24" i="6"/>
  <c r="CA39" i="6"/>
  <c r="CA56" i="6"/>
  <c r="CA23" i="6"/>
  <c r="CA55" i="6"/>
  <c r="CA62" i="6"/>
  <c r="CA31" i="6"/>
  <c r="CA63" i="6"/>
  <c r="CA35" i="6"/>
  <c r="CA38" i="6"/>
  <c r="CA46" i="6"/>
  <c r="CA60" i="6"/>
  <c r="CA18" i="6"/>
  <c r="CA50" i="6"/>
  <c r="CA28" i="6"/>
  <c r="CA40" i="6"/>
  <c r="CA26" i="6"/>
  <c r="CA48" i="6"/>
  <c r="CA64" i="6"/>
  <c r="CA20" i="6"/>
  <c r="CA52" i="6"/>
  <c r="CA21" i="6"/>
  <c r="CA53" i="6"/>
  <c r="CA47" i="6"/>
  <c r="CA29" i="6"/>
  <c r="CA61" i="6"/>
  <c r="CA33" i="6"/>
  <c r="CI104" i="6"/>
  <c r="CI88" i="6"/>
  <c r="CI56" i="6"/>
  <c r="CI40" i="6"/>
  <c r="CI24" i="6"/>
  <c r="DJ17" i="6"/>
  <c r="DJ38" i="6"/>
  <c r="DJ28" i="6"/>
  <c r="DJ39" i="6"/>
  <c r="DJ24" i="6"/>
  <c r="DK16" i="6"/>
  <c r="DJ42" i="6"/>
  <c r="DJ25" i="6"/>
  <c r="DJ41" i="6"/>
  <c r="DJ19" i="6"/>
  <c r="DJ43" i="6"/>
  <c r="DJ30" i="6"/>
  <c r="DJ37" i="6"/>
  <c r="DJ22" i="6"/>
  <c r="DJ31" i="6"/>
  <c r="DJ16" i="6"/>
  <c r="DJ21" i="6"/>
  <c r="DJ32" i="6"/>
  <c r="DJ35" i="6"/>
  <c r="DJ20" i="6"/>
  <c r="DJ29" i="6"/>
  <c r="DJ26" i="6"/>
  <c r="DJ40" i="6"/>
  <c r="DJ34" i="6"/>
  <c r="DJ23" i="6"/>
  <c r="DJ33" i="6"/>
  <c r="DJ18" i="6"/>
  <c r="DJ27" i="6"/>
  <c r="DJ36" i="6"/>
  <c r="DK120" i="6"/>
  <c r="DK64" i="6"/>
  <c r="DK32" i="6"/>
  <c r="ES16" i="6"/>
  <c r="ES18" i="6"/>
  <c r="ES32" i="6"/>
  <c r="ES19" i="6"/>
  <c r="ES36" i="6"/>
  <c r="ES25" i="6"/>
  <c r="ES42" i="6"/>
  <c r="ES28" i="6"/>
  <c r="ES22" i="6"/>
  <c r="ES37" i="6"/>
  <c r="ES43" i="6"/>
  <c r="ES21" i="6"/>
  <c r="ES38" i="6"/>
  <c r="ES27" i="6"/>
  <c r="ES44" i="6"/>
  <c r="ES41" i="6"/>
  <c r="ES24" i="6"/>
  <c r="ES39" i="6"/>
  <c r="ES47" i="6"/>
  <c r="ES23" i="6"/>
  <c r="ES40" i="6"/>
  <c r="ES26" i="6"/>
  <c r="ES29" i="6"/>
  <c r="ES46" i="6"/>
  <c r="ET16" i="6"/>
  <c r="ES33" i="6"/>
  <c r="ES30" i="6"/>
  <c r="ES17" i="6"/>
  <c r="ES34" i="6"/>
  <c r="ES45" i="6"/>
  <c r="ES31" i="6"/>
  <c r="ES20" i="6"/>
  <c r="ES35" i="6"/>
  <c r="ET72" i="6"/>
  <c r="DR128" i="6"/>
  <c r="DR112" i="6"/>
  <c r="DR80" i="6"/>
  <c r="DR64" i="6"/>
  <c r="DR48" i="6"/>
  <c r="V154" i="6"/>
  <c r="Q154" i="6"/>
  <c r="EE77" i="6"/>
  <c r="EE135" i="6"/>
  <c r="EE28" i="6"/>
  <c r="EE75" i="6"/>
  <c r="EE107" i="6"/>
  <c r="EE17" i="6"/>
  <c r="EE34" i="6"/>
  <c r="EE49" i="6"/>
  <c r="EE66" i="6"/>
  <c r="EE81" i="6"/>
  <c r="EE98" i="6"/>
  <c r="EE113" i="6"/>
  <c r="EE130" i="6"/>
  <c r="EE43" i="6"/>
  <c r="EE90" i="6"/>
  <c r="EE124" i="6"/>
  <c r="EE29" i="6"/>
  <c r="EE46" i="6"/>
  <c r="EE61" i="6"/>
  <c r="EE78" i="6"/>
  <c r="EE93" i="6"/>
  <c r="EE110" i="6"/>
  <c r="EE125" i="6"/>
  <c r="EE47" i="6"/>
  <c r="EE20" i="6"/>
  <c r="EE35" i="6"/>
  <c r="EE52" i="6"/>
  <c r="EE67" i="6"/>
  <c r="EE84" i="6"/>
  <c r="EE99" i="6"/>
  <c r="EE116" i="6"/>
  <c r="EE131" i="6"/>
  <c r="EE32" i="6"/>
  <c r="EE79" i="6"/>
  <c r="EE111" i="6"/>
  <c r="EE19" i="6"/>
  <c r="EE36" i="6"/>
  <c r="EE51" i="6"/>
  <c r="EE68" i="6"/>
  <c r="EE83" i="6"/>
  <c r="EE100" i="6"/>
  <c r="EE115" i="6"/>
  <c r="EE132" i="6"/>
  <c r="EE60" i="6"/>
  <c r="EE94" i="6"/>
  <c r="EE126" i="6"/>
  <c r="EE31" i="6"/>
  <c r="EE48" i="6"/>
  <c r="EE63" i="6"/>
  <c r="EE80" i="6"/>
  <c r="EE95" i="6"/>
  <c r="EE112" i="6"/>
  <c r="EE127" i="6"/>
  <c r="EE62" i="6"/>
  <c r="EE22" i="6"/>
  <c r="EE37" i="6"/>
  <c r="EE54" i="6"/>
  <c r="EE69" i="6"/>
  <c r="EE86" i="6"/>
  <c r="EE101" i="6"/>
  <c r="EE118" i="6"/>
  <c r="EE133" i="6"/>
  <c r="EE45" i="6"/>
  <c r="EE92" i="6"/>
  <c r="EE122" i="6"/>
  <c r="EE21" i="6"/>
  <c r="EE38" i="6"/>
  <c r="EE53" i="6"/>
  <c r="EE70" i="6"/>
  <c r="EE85" i="6"/>
  <c r="EE102" i="6"/>
  <c r="EE117" i="6"/>
  <c r="EE134" i="6"/>
  <c r="EE64" i="6"/>
  <c r="EE105" i="6"/>
  <c r="EE25" i="6"/>
  <c r="EE42" i="6"/>
  <c r="EE57" i="6"/>
  <c r="EE74" i="6"/>
  <c r="EE89" i="6"/>
  <c r="EE106" i="6"/>
  <c r="EE121" i="6"/>
  <c r="EE30" i="6"/>
  <c r="EF16" i="6"/>
  <c r="EE24" i="6"/>
  <c r="EE39" i="6"/>
  <c r="EE56" i="6"/>
  <c r="EE71" i="6"/>
  <c r="EE88" i="6"/>
  <c r="EE103" i="6"/>
  <c r="EE120" i="6"/>
  <c r="EE16" i="6"/>
  <c r="EE58" i="6"/>
  <c r="EE96" i="6"/>
  <c r="EE128" i="6"/>
  <c r="EE23" i="6"/>
  <c r="EE40" i="6"/>
  <c r="EE55" i="6"/>
  <c r="EE72" i="6"/>
  <c r="EE87" i="6"/>
  <c r="EE104" i="6"/>
  <c r="EE119" i="6"/>
  <c r="EE26" i="6"/>
  <c r="EE73" i="6"/>
  <c r="EE109" i="6"/>
  <c r="EE27" i="6"/>
  <c r="EE44" i="6"/>
  <c r="EE59" i="6"/>
  <c r="EE76" i="6"/>
  <c r="EE91" i="6"/>
  <c r="EE108" i="6"/>
  <c r="EE123" i="6"/>
  <c r="EE41" i="6"/>
  <c r="EE18" i="6"/>
  <c r="EE33" i="6"/>
  <c r="EE50" i="6"/>
  <c r="EE65" i="6"/>
  <c r="EE82" i="6"/>
  <c r="EE97" i="6"/>
  <c r="EE114" i="6"/>
  <c r="EE129" i="6"/>
  <c r="EF104" i="6"/>
  <c r="EF72" i="6"/>
  <c r="EF40" i="6"/>
  <c r="DY128" i="6"/>
  <c r="DY112" i="6"/>
  <c r="DY96" i="6"/>
  <c r="DY80" i="6"/>
  <c r="DY64" i="6"/>
  <c r="DY48" i="6"/>
  <c r="DY32" i="6"/>
  <c r="EM120" i="6"/>
  <c r="EM88" i="6"/>
  <c r="EM24" i="6"/>
  <c r="W17" i="6"/>
  <c r="W16" i="6"/>
  <c r="W19" i="6"/>
  <c r="W18" i="6"/>
  <c r="W76" i="6"/>
  <c r="W56" i="6"/>
  <c r="W41" i="6"/>
  <c r="W70" i="6"/>
  <c r="W33" i="6"/>
  <c r="W29" i="6"/>
  <c r="W73" i="6"/>
  <c r="W21" i="6"/>
  <c r="W85" i="6"/>
  <c r="W54" i="6"/>
  <c r="W46" i="6"/>
  <c r="W24" i="6"/>
  <c r="W69" i="6"/>
  <c r="W28" i="6"/>
  <c r="W43" i="6"/>
  <c r="W60" i="6"/>
  <c r="W75" i="6"/>
  <c r="W92" i="6"/>
  <c r="W23" i="6"/>
  <c r="W40" i="6"/>
  <c r="W55" i="6"/>
  <c r="W72" i="6"/>
  <c r="W87" i="6"/>
  <c r="W35" i="6"/>
  <c r="W65" i="6"/>
  <c r="W88" i="6"/>
  <c r="W31" i="6"/>
  <c r="W48" i="6"/>
  <c r="W63" i="6"/>
  <c r="W80" i="6"/>
  <c r="W52" i="6"/>
  <c r="W47" i="6"/>
  <c r="W79" i="6"/>
  <c r="W51" i="6"/>
  <c r="W83" i="6"/>
  <c r="W71" i="6"/>
  <c r="W27" i="6"/>
  <c r="W59" i="6"/>
  <c r="W58" i="6"/>
  <c r="W53" i="6"/>
  <c r="W84" i="6"/>
  <c r="W61" i="6"/>
  <c r="W22" i="6"/>
  <c r="W37" i="6"/>
  <c r="W82" i="6"/>
  <c r="W30" i="6"/>
  <c r="W45" i="6"/>
  <c r="W62" i="6"/>
  <c r="W77" i="6"/>
  <c r="W34" i="6"/>
  <c r="W49" i="6"/>
  <c r="W66" i="6"/>
  <c r="W81" i="6"/>
  <c r="W39" i="6"/>
  <c r="W67" i="6"/>
  <c r="W25" i="6"/>
  <c r="W42" i="6"/>
  <c r="W57" i="6"/>
  <c r="W74" i="6"/>
  <c r="W89" i="6"/>
  <c r="X16" i="6"/>
  <c r="W86" i="6"/>
  <c r="W32" i="6"/>
  <c r="W64" i="6"/>
  <c r="W36" i="6"/>
  <c r="W68" i="6"/>
  <c r="W50" i="6"/>
  <c r="W44" i="6"/>
  <c r="W91" i="6"/>
  <c r="W20" i="6"/>
  <c r="W26" i="6"/>
  <c r="W90" i="6"/>
  <c r="W38" i="6"/>
  <c r="W78" i="6"/>
  <c r="X120" i="6"/>
  <c r="X104" i="6"/>
  <c r="X72" i="6"/>
  <c r="X56" i="6"/>
  <c r="X40" i="6"/>
  <c r="X24" i="6"/>
  <c r="AK18" i="6"/>
  <c r="AK20" i="6"/>
  <c r="AK37" i="6"/>
  <c r="AK21" i="6"/>
  <c r="AK38" i="6"/>
  <c r="AK53" i="6"/>
  <c r="AK70" i="6"/>
  <c r="AK85" i="6"/>
  <c r="AK102" i="6"/>
  <c r="AK134" i="6"/>
  <c r="AK44" i="6"/>
  <c r="AK59" i="6"/>
  <c r="AK76" i="6"/>
  <c r="AK91" i="6"/>
  <c r="AK108" i="6"/>
  <c r="AK67" i="6"/>
  <c r="AK28" i="6"/>
  <c r="AK107" i="6"/>
  <c r="AK65" i="6"/>
  <c r="AK56" i="6"/>
  <c r="AK23" i="6"/>
  <c r="AK40" i="6"/>
  <c r="AK55" i="6"/>
  <c r="AK72" i="6"/>
  <c r="AK87" i="6"/>
  <c r="AK104" i="6"/>
  <c r="AK119" i="6"/>
  <c r="V140" i="6"/>
  <c r="AK29" i="6"/>
  <c r="AK46" i="6"/>
  <c r="AK61" i="6"/>
  <c r="AK78" i="6"/>
  <c r="AK93" i="6"/>
  <c r="AK110" i="6"/>
  <c r="AK125" i="6"/>
  <c r="AK50" i="6"/>
  <c r="AK69" i="6"/>
  <c r="AK86" i="6"/>
  <c r="AK101" i="6"/>
  <c r="AK118" i="6"/>
  <c r="AK133" i="6"/>
  <c r="AK30" i="6"/>
  <c r="AK45" i="6"/>
  <c r="AK62" i="6"/>
  <c r="AK77" i="6"/>
  <c r="AK94" i="6"/>
  <c r="AK109" i="6"/>
  <c r="AK126" i="6"/>
  <c r="Q140" i="6"/>
  <c r="AK17" i="6"/>
  <c r="AK34" i="6"/>
  <c r="AK49" i="6"/>
  <c r="AK66" i="6"/>
  <c r="AK81" i="6"/>
  <c r="AK98" i="6"/>
  <c r="AK113" i="6"/>
  <c r="AK130" i="6"/>
  <c r="AK16" i="6"/>
  <c r="AK31" i="6"/>
  <c r="AK48" i="6"/>
  <c r="AK63" i="6"/>
  <c r="AK80" i="6"/>
  <c r="AK95" i="6"/>
  <c r="AK112" i="6"/>
  <c r="AK127" i="6"/>
  <c r="AK52" i="6"/>
  <c r="AK71" i="6"/>
  <c r="AK88" i="6"/>
  <c r="AK103" i="6"/>
  <c r="AK120" i="6"/>
  <c r="AK135" i="6"/>
  <c r="AK32" i="6"/>
  <c r="AK47" i="6"/>
  <c r="AK64" i="6"/>
  <c r="AK79" i="6"/>
  <c r="AK96" i="6"/>
  <c r="AK111" i="6"/>
  <c r="AK128" i="6"/>
  <c r="AK117" i="6"/>
  <c r="AK39" i="6"/>
  <c r="AK84" i="6"/>
  <c r="AK116" i="6"/>
  <c r="AK43" i="6"/>
  <c r="AK92" i="6"/>
  <c r="AK124" i="6"/>
  <c r="AL16" i="6"/>
  <c r="AK22" i="6"/>
  <c r="AK33" i="6"/>
  <c r="AK19" i="6"/>
  <c r="AK36" i="6"/>
  <c r="AK51" i="6"/>
  <c r="AK68" i="6"/>
  <c r="AK83" i="6"/>
  <c r="AK100" i="6"/>
  <c r="AK115" i="6"/>
  <c r="AK132" i="6"/>
  <c r="AK25" i="6"/>
  <c r="AK42" i="6"/>
  <c r="AK57" i="6"/>
  <c r="AK74" i="6"/>
  <c r="AK89" i="6"/>
  <c r="AK106" i="6"/>
  <c r="AK121" i="6"/>
  <c r="AK35" i="6"/>
  <c r="AK54" i="6"/>
  <c r="AK82" i="6"/>
  <c r="AK97" i="6"/>
  <c r="AK114" i="6"/>
  <c r="AK129" i="6"/>
  <c r="AK26" i="6"/>
  <c r="AK41" i="6"/>
  <c r="AK58" i="6"/>
  <c r="AK73" i="6"/>
  <c r="AK90" i="6"/>
  <c r="AK105" i="6"/>
  <c r="AK122" i="6"/>
  <c r="AK27" i="6"/>
  <c r="AK123" i="6"/>
  <c r="AK99" i="6"/>
  <c r="AK131" i="6"/>
  <c r="AK60" i="6"/>
  <c r="AK75" i="6"/>
  <c r="AL120" i="6"/>
  <c r="AL104" i="6"/>
  <c r="AL88" i="6"/>
  <c r="AL72" i="6"/>
  <c r="AL56" i="6"/>
  <c r="AL40" i="6"/>
  <c r="AL24" i="6"/>
  <c r="BT20" i="6"/>
  <c r="BT19" i="6"/>
  <c r="BT16" i="6"/>
  <c r="BT24" i="6"/>
  <c r="BT28" i="6"/>
  <c r="BT21" i="6"/>
  <c r="BT25" i="6"/>
  <c r="BU16" i="6"/>
  <c r="BT26" i="6"/>
  <c r="BT18" i="6"/>
  <c r="BT17" i="6"/>
  <c r="BT22" i="6"/>
  <c r="BT23" i="6"/>
  <c r="BT27" i="6"/>
  <c r="BU120" i="6"/>
  <c r="BU104" i="6"/>
  <c r="BU88" i="6"/>
  <c r="BU56" i="6"/>
  <c r="BU40" i="6"/>
  <c r="CW104" i="6"/>
  <c r="CW112" i="6"/>
  <c r="CO32" i="6"/>
  <c r="CO38" i="6"/>
  <c r="CO16" i="6"/>
  <c r="CO31" i="6"/>
  <c r="CO36" i="6"/>
  <c r="CO20" i="6"/>
  <c r="CO35" i="6"/>
  <c r="CO41" i="6"/>
  <c r="CO19" i="6"/>
  <c r="CO25" i="6"/>
  <c r="CO42" i="6"/>
  <c r="CO28" i="6"/>
  <c r="CO40" i="6"/>
  <c r="CO22" i="6"/>
  <c r="CO37" i="6"/>
  <c r="CO23" i="6"/>
  <c r="CO27" i="6"/>
  <c r="CO44" i="6"/>
  <c r="CO30" i="6"/>
  <c r="CO17" i="6"/>
  <c r="CP16" i="6"/>
  <c r="CO24" i="6"/>
  <c r="CO39" i="6"/>
  <c r="CO26" i="6"/>
  <c r="CO34" i="6"/>
  <c r="CO29" i="6"/>
  <c r="CO43" i="6"/>
  <c r="CO21" i="6"/>
  <c r="CO18" i="6"/>
  <c r="CO33" i="6"/>
  <c r="CP120" i="6"/>
  <c r="CP104" i="6"/>
  <c r="CP88" i="6"/>
  <c r="CP72" i="6"/>
  <c r="CP56" i="6"/>
  <c r="CP24" i="6"/>
  <c r="DC17" i="6"/>
  <c r="DC18" i="6"/>
  <c r="DC27" i="6"/>
  <c r="DC19" i="6"/>
  <c r="DC24" i="6"/>
  <c r="DD16" i="6"/>
  <c r="DC25" i="6"/>
  <c r="DC23" i="6"/>
  <c r="DC32" i="6"/>
  <c r="DC22" i="6"/>
  <c r="DC31" i="6"/>
  <c r="DC16" i="6"/>
  <c r="DC21" i="6"/>
  <c r="DC28" i="6"/>
  <c r="DC20" i="6"/>
  <c r="DC29" i="6"/>
  <c r="DC26" i="6"/>
  <c r="DC30" i="6"/>
  <c r="DD120" i="6"/>
  <c r="DD104" i="6"/>
  <c r="DD88" i="6"/>
  <c r="DD72" i="6"/>
  <c r="DD40" i="6"/>
  <c r="DD24" i="6"/>
  <c r="DK88" i="6"/>
  <c r="DK56" i="6"/>
  <c r="DK24" i="6"/>
  <c r="DR40" i="6"/>
  <c r="ET120" i="6"/>
  <c r="ET56" i="6"/>
  <c r="EF128" i="6"/>
  <c r="EF96" i="6"/>
  <c r="EF64" i="6"/>
  <c r="EF32" i="6"/>
  <c r="EM112" i="6"/>
  <c r="EM80" i="6"/>
  <c r="EM48" i="6"/>
  <c r="AE128" i="6"/>
  <c r="AE112" i="6"/>
  <c r="AE96" i="6"/>
  <c r="AE80" i="6"/>
  <c r="AE64" i="6"/>
  <c r="AE48" i="6"/>
  <c r="AZ128" i="6"/>
  <c r="AZ112" i="6"/>
  <c r="AZ96" i="6"/>
  <c r="AZ80" i="6"/>
  <c r="AZ64" i="6"/>
  <c r="AZ48" i="6"/>
  <c r="AZ32" i="6"/>
  <c r="AR16" i="6"/>
  <c r="AR20" i="6"/>
  <c r="AR17" i="6"/>
  <c r="AR19" i="6"/>
  <c r="AR18" i="6"/>
  <c r="AS120" i="6"/>
  <c r="AS104" i="6"/>
  <c r="AS88" i="6"/>
  <c r="AS80" i="6"/>
  <c r="AS64" i="6"/>
  <c r="AS48" i="6"/>
  <c r="AS32" i="6"/>
  <c r="BF109" i="6"/>
  <c r="BF45" i="6"/>
  <c r="BF92" i="6"/>
  <c r="BF23" i="6"/>
  <c r="BF40" i="6"/>
  <c r="BF55" i="6"/>
  <c r="BF72" i="6"/>
  <c r="BF87" i="6"/>
  <c r="BF104" i="6"/>
  <c r="BF119" i="6"/>
  <c r="BF26" i="6"/>
  <c r="BF90" i="6"/>
  <c r="BF126" i="6"/>
  <c r="BF29" i="6"/>
  <c r="BF46" i="6"/>
  <c r="BF61" i="6"/>
  <c r="BF78" i="6"/>
  <c r="BF93" i="6"/>
  <c r="BF110" i="6"/>
  <c r="BF125" i="6"/>
  <c r="BF47" i="6"/>
  <c r="BG16" i="6"/>
  <c r="BF24" i="6"/>
  <c r="BF39" i="6"/>
  <c r="BF56" i="6"/>
  <c r="BF71" i="6"/>
  <c r="BF88" i="6"/>
  <c r="BF103" i="6"/>
  <c r="BF120" i="6"/>
  <c r="BF28" i="6"/>
  <c r="BF58" i="6"/>
  <c r="BF107" i="6"/>
  <c r="BF17" i="6"/>
  <c r="BF34" i="6"/>
  <c r="BF49" i="6"/>
  <c r="BF66" i="6"/>
  <c r="BF81" i="6"/>
  <c r="BF98" i="6"/>
  <c r="BF113" i="6"/>
  <c r="BF60" i="6"/>
  <c r="BF96" i="6"/>
  <c r="BF16" i="6"/>
  <c r="BF31" i="6"/>
  <c r="BF48" i="6"/>
  <c r="BF63" i="6"/>
  <c r="BF80" i="6"/>
  <c r="BF95" i="6"/>
  <c r="BF112" i="6"/>
  <c r="BF62" i="6"/>
  <c r="BF18" i="6"/>
  <c r="BF33" i="6"/>
  <c r="BF50" i="6"/>
  <c r="BF65" i="6"/>
  <c r="BF82" i="6"/>
  <c r="BF97" i="6"/>
  <c r="BF114" i="6"/>
  <c r="BF32" i="6"/>
  <c r="BF64" i="6"/>
  <c r="BF111" i="6"/>
  <c r="BF19" i="6"/>
  <c r="BF36" i="6"/>
  <c r="BF51" i="6"/>
  <c r="BF68" i="6"/>
  <c r="BF83" i="6"/>
  <c r="BF100" i="6"/>
  <c r="BF115" i="6"/>
  <c r="BF77" i="6"/>
  <c r="BF105" i="6"/>
  <c r="BF25" i="6"/>
  <c r="BF42" i="6"/>
  <c r="BF57" i="6"/>
  <c r="BF74" i="6"/>
  <c r="BF89" i="6"/>
  <c r="BF106" i="6"/>
  <c r="BF121" i="6"/>
  <c r="BF30" i="6"/>
  <c r="BF75" i="6"/>
  <c r="BF20" i="6"/>
  <c r="BF35" i="6"/>
  <c r="BF52" i="6"/>
  <c r="BF67" i="6"/>
  <c r="BF84" i="6"/>
  <c r="BF99" i="6"/>
  <c r="BF116" i="6"/>
  <c r="BF43" i="6"/>
  <c r="BF73" i="6"/>
  <c r="BF122" i="6"/>
  <c r="BF21" i="6"/>
  <c r="BF38" i="6"/>
  <c r="BF53" i="6"/>
  <c r="BF70" i="6"/>
  <c r="BF85" i="6"/>
  <c r="BF102" i="6"/>
  <c r="BF117" i="6"/>
  <c r="BF79" i="6"/>
  <c r="BF124" i="6"/>
  <c r="BF27" i="6"/>
  <c r="BF44" i="6"/>
  <c r="BF59" i="6"/>
  <c r="BF76" i="6"/>
  <c r="BF91" i="6"/>
  <c r="BF108" i="6"/>
  <c r="BF123" i="6"/>
  <c r="BF41" i="6"/>
  <c r="BF94" i="6"/>
  <c r="BF22" i="6"/>
  <c r="BF37" i="6"/>
  <c r="BF54" i="6"/>
  <c r="BF69" i="6"/>
  <c r="BF86" i="6"/>
  <c r="BF101" i="6"/>
  <c r="BF118" i="6"/>
  <c r="BG104" i="6"/>
  <c r="BG88" i="6"/>
  <c r="BG72" i="6"/>
  <c r="CI128" i="6"/>
  <c r="CI112" i="6"/>
  <c r="CI96" i="6"/>
  <c r="CI80" i="6"/>
  <c r="CI64" i="6"/>
  <c r="CI48" i="6"/>
  <c r="CI32" i="6"/>
  <c r="CW64" i="6"/>
  <c r="DK128" i="6"/>
  <c r="DK112" i="6"/>
  <c r="DK96" i="6"/>
  <c r="DK80" i="6"/>
  <c r="DK48" i="6"/>
  <c r="DR24" i="6"/>
  <c r="ET104" i="6"/>
  <c r="ET40" i="6"/>
  <c r="DQ17" i="6"/>
  <c r="DQ22" i="6"/>
  <c r="DQ31" i="6"/>
  <c r="DQ16" i="6"/>
  <c r="DQ21" i="6"/>
  <c r="DQ28" i="6"/>
  <c r="DQ35" i="6"/>
  <c r="DQ20" i="6"/>
  <c r="DQ29" i="6"/>
  <c r="DQ26" i="6"/>
  <c r="DQ30" i="6"/>
  <c r="DQ33" i="6"/>
  <c r="DQ27" i="6"/>
  <c r="DQ34" i="6"/>
  <c r="DQ24" i="6"/>
  <c r="DQ25" i="6"/>
  <c r="DQ23" i="6"/>
  <c r="DQ18" i="6"/>
  <c r="DQ19" i="6"/>
  <c r="DR16" i="6"/>
  <c r="DQ32" i="6"/>
  <c r="DR120" i="6"/>
  <c r="DR104" i="6"/>
  <c r="DR72" i="6"/>
  <c r="DR56" i="6"/>
  <c r="EF120" i="6"/>
  <c r="EF88" i="6"/>
  <c r="EF56" i="6"/>
  <c r="EF24" i="6"/>
  <c r="DX16" i="6"/>
  <c r="DX17" i="6"/>
  <c r="DX18" i="6"/>
  <c r="DY120" i="6"/>
  <c r="DY104" i="6"/>
  <c r="DY88" i="6"/>
  <c r="DY72" i="6"/>
  <c r="DY40" i="6"/>
  <c r="DY24" i="6"/>
  <c r="EL34" i="6"/>
  <c r="EL53" i="6"/>
  <c r="EL29" i="6"/>
  <c r="EL46" i="6"/>
  <c r="EL30" i="6"/>
  <c r="EL45" i="6"/>
  <c r="EL55" i="6"/>
  <c r="EM16" i="6"/>
  <c r="EL24" i="6"/>
  <c r="EL39" i="6"/>
  <c r="EL56" i="6"/>
  <c r="EL17" i="6"/>
  <c r="EL38" i="6"/>
  <c r="EL16" i="6"/>
  <c r="EL31" i="6"/>
  <c r="EL48" i="6"/>
  <c r="EL32" i="6"/>
  <c r="EL47" i="6"/>
  <c r="EL19" i="6"/>
  <c r="EL18" i="6"/>
  <c r="EL33" i="6"/>
  <c r="EL50" i="6"/>
  <c r="EL21" i="6"/>
  <c r="EL40" i="6"/>
  <c r="EL25" i="6"/>
  <c r="EL42" i="6"/>
  <c r="EL57" i="6"/>
  <c r="EL26" i="6"/>
  <c r="EL41" i="6"/>
  <c r="EL58" i="6"/>
  <c r="EL36" i="6"/>
  <c r="EL20" i="6"/>
  <c r="EL35" i="6"/>
  <c r="EL52" i="6"/>
  <c r="EL23" i="6"/>
  <c r="EL49" i="6"/>
  <c r="EL27" i="6"/>
  <c r="EL44" i="6"/>
  <c r="EL59" i="6"/>
  <c r="EL28" i="6"/>
  <c r="EL43" i="6"/>
  <c r="EL51" i="6"/>
  <c r="EL22" i="6"/>
  <c r="EL37" i="6"/>
  <c r="EL54" i="6"/>
  <c r="EM104" i="6"/>
  <c r="EM72" i="6"/>
  <c r="EM40" i="6"/>
  <c r="ET24" i="6"/>
  <c r="F29" i="6"/>
  <c r="H28" i="6"/>
  <c r="G29" i="6" s="1"/>
  <c r="F25" i="7"/>
  <c r="G25" i="7" s="1"/>
  <c r="H25" i="7" s="1"/>
  <c r="F30" i="6" l="1"/>
  <c r="H29" i="6"/>
  <c r="G30" i="6" s="1"/>
  <c r="E26" i="7"/>
  <c r="F31" i="6" l="1"/>
  <c r="H30" i="6"/>
  <c r="G31" i="6" s="1"/>
  <c r="F26" i="7"/>
  <c r="G26" i="7" s="1"/>
  <c r="H26" i="7" s="1"/>
  <c r="F32" i="6" l="1"/>
  <c r="H31" i="6"/>
  <c r="G32" i="6" s="1"/>
  <c r="E27" i="7"/>
  <c r="F33" i="6" l="1"/>
  <c r="H32" i="6"/>
  <c r="G33" i="6" s="1"/>
  <c r="F27" i="7"/>
  <c r="G27" i="7" s="1"/>
  <c r="H27" i="7" s="1"/>
  <c r="EK60" i="6" l="1"/>
  <c r="DP36" i="6"/>
  <c r="DI44" i="6"/>
  <c r="BL48" i="6"/>
  <c r="AC63" i="6"/>
  <c r="AC106" i="6"/>
  <c r="AE104" i="6" s="1"/>
  <c r="DB33" i="6"/>
  <c r="DW19" i="6"/>
  <c r="DP99" i="6"/>
  <c r="DR96" i="6" s="1"/>
  <c r="CU43" i="6"/>
  <c r="AQ21" i="6"/>
  <c r="AX94" i="6"/>
  <c r="DI109" i="6"/>
  <c r="DK104" i="6" s="1"/>
  <c r="DP95" i="6"/>
  <c r="DR88" i="6" s="1"/>
  <c r="CU128" i="6"/>
  <c r="CW128" i="6" s="1"/>
  <c r="CN45" i="6"/>
  <c r="BZ65" i="6"/>
  <c r="BL67" i="6"/>
  <c r="CG77" i="6"/>
  <c r="CG125" i="6"/>
  <c r="CI120" i="6" s="1"/>
  <c r="DB57" i="6"/>
  <c r="DD56" i="6" s="1"/>
  <c r="DW58" i="6"/>
  <c r="DY56" i="6" s="1"/>
  <c r="ER48" i="6"/>
  <c r="DI45" i="6"/>
  <c r="BS29" i="6"/>
  <c r="BS77" i="6"/>
  <c r="BU72" i="6" s="1"/>
  <c r="BL71" i="6"/>
  <c r="BE127" i="6"/>
  <c r="BZ76" i="6"/>
  <c r="CB72" i="6" s="1"/>
  <c r="AC75" i="6"/>
  <c r="AE72" i="6" s="1"/>
  <c r="V93" i="6"/>
  <c r="H33" i="6"/>
  <c r="G34" i="6" s="1"/>
  <c r="F34" i="6"/>
  <c r="E28" i="7"/>
  <c r="BT135" i="6" l="1"/>
  <c r="BT83" i="6"/>
  <c r="BT47" i="6"/>
  <c r="BT48" i="6"/>
  <c r="BT112" i="6"/>
  <c r="BT88" i="6"/>
  <c r="BT73" i="6"/>
  <c r="BT53" i="6"/>
  <c r="BT117" i="6"/>
  <c r="BT89" i="6"/>
  <c r="BT75" i="6"/>
  <c r="BT65" i="6"/>
  <c r="BT129" i="6"/>
  <c r="BT98" i="6"/>
  <c r="BT61" i="6"/>
  <c r="BT37" i="6"/>
  <c r="BT32" i="6"/>
  <c r="BT104" i="6"/>
  <c r="BT76" i="6"/>
  <c r="BT52" i="6"/>
  <c r="BT43" i="6"/>
  <c r="BT110" i="6"/>
  <c r="BT86" i="6"/>
  <c r="BT55" i="6"/>
  <c r="BT94" i="6"/>
  <c r="BT131" i="6"/>
  <c r="BT36" i="6"/>
  <c r="BT100" i="6"/>
  <c r="BT90" i="6"/>
  <c r="BT63" i="6"/>
  <c r="BT127" i="6"/>
  <c r="BT39" i="6"/>
  <c r="BT103" i="6"/>
  <c r="BT122" i="6"/>
  <c r="BT70" i="6"/>
  <c r="BT134" i="6"/>
  <c r="BT42" i="6"/>
  <c r="BT106" i="6"/>
  <c r="BT82" i="6"/>
  <c r="BT96" i="6"/>
  <c r="BT130" i="6"/>
  <c r="BT93" i="6"/>
  <c r="BT69" i="6"/>
  <c r="BT126" i="6"/>
  <c r="BT108" i="6"/>
  <c r="BT84" i="6"/>
  <c r="BT49" i="6"/>
  <c r="BT128" i="6"/>
  <c r="BT45" i="6"/>
  <c r="BT118" i="6"/>
  <c r="BT87" i="6"/>
  <c r="BT59" i="6"/>
  <c r="BT35" i="6"/>
  <c r="V145" i="6"/>
  <c r="BT64" i="6"/>
  <c r="BT51" i="6"/>
  <c r="BT115" i="6"/>
  <c r="BT80" i="6"/>
  <c r="BT62" i="6"/>
  <c r="BT56" i="6"/>
  <c r="BT120" i="6"/>
  <c r="BT85" i="6"/>
  <c r="BT58" i="6"/>
  <c r="BT57" i="6"/>
  <c r="BT121" i="6"/>
  <c r="BT33" i="6"/>
  <c r="BT97" i="6"/>
  <c r="BT34" i="6"/>
  <c r="BT79" i="6"/>
  <c r="BT125" i="6"/>
  <c r="BT101" i="6"/>
  <c r="BT40" i="6"/>
  <c r="BT124" i="6"/>
  <c r="BT41" i="6"/>
  <c r="BT116" i="6"/>
  <c r="BT81" i="6"/>
  <c r="BT46" i="6"/>
  <c r="BT92" i="6"/>
  <c r="BT119" i="6"/>
  <c r="BT91" i="6"/>
  <c r="BT67" i="6"/>
  <c r="Q145" i="6"/>
  <c r="BT109" i="6"/>
  <c r="BT68" i="6"/>
  <c r="BT132" i="6"/>
  <c r="BT31" i="6"/>
  <c r="BT95" i="6"/>
  <c r="BT111" i="6"/>
  <c r="BT71" i="6"/>
  <c r="BT38" i="6"/>
  <c r="BT102" i="6"/>
  <c r="BT107" i="6"/>
  <c r="BT74" i="6"/>
  <c r="BT30" i="6"/>
  <c r="BT50" i="6"/>
  <c r="BT114" i="6"/>
  <c r="BT66" i="6"/>
  <c r="BT29" i="6"/>
  <c r="BT105" i="6"/>
  <c r="BT133" i="6"/>
  <c r="BT72" i="6"/>
  <c r="BT44" i="6"/>
  <c r="BT60" i="6"/>
  <c r="BT113" i="6"/>
  <c r="BT78" i="6"/>
  <c r="BT54" i="6"/>
  <c r="BT77" i="6"/>
  <c r="BT123" i="6"/>
  <c r="BT99" i="6"/>
  <c r="BU24" i="6"/>
  <c r="CA90" i="6"/>
  <c r="CA66" i="6"/>
  <c r="CA130" i="6"/>
  <c r="CA106" i="6"/>
  <c r="CA124" i="6"/>
  <c r="CA69" i="6"/>
  <c r="CA133" i="6"/>
  <c r="CA100" i="6"/>
  <c r="CA94" i="6"/>
  <c r="CA76" i="6"/>
  <c r="CA103" i="6"/>
  <c r="CA107" i="6"/>
  <c r="CA131" i="6"/>
  <c r="CA102" i="6"/>
  <c r="CA78" i="6"/>
  <c r="CA128" i="6"/>
  <c r="CA112" i="6"/>
  <c r="CA84" i="6"/>
  <c r="CA96" i="6"/>
  <c r="CA129" i="6"/>
  <c r="CA135" i="6"/>
  <c r="CA81" i="6"/>
  <c r="CA121" i="6"/>
  <c r="CA86" i="6"/>
  <c r="CA115" i="6"/>
  <c r="CA91" i="6"/>
  <c r="CA92" i="6"/>
  <c r="CA120" i="6"/>
  <c r="CA87" i="6"/>
  <c r="CA122" i="6"/>
  <c r="CA134" i="6"/>
  <c r="CA110" i="6"/>
  <c r="CA82" i="6"/>
  <c r="CA111" i="6"/>
  <c r="CA116" i="6"/>
  <c r="CA85" i="6"/>
  <c r="V146" i="6"/>
  <c r="CA126" i="6"/>
  <c r="CA98" i="6"/>
  <c r="CA73" i="6"/>
  <c r="CA74" i="6"/>
  <c r="CA101" i="6"/>
  <c r="CA109" i="6"/>
  <c r="CA68" i="6"/>
  <c r="CA132" i="6"/>
  <c r="CA108" i="6"/>
  <c r="CA71" i="6"/>
  <c r="CA79" i="6"/>
  <c r="CA119" i="6"/>
  <c r="CA95" i="6"/>
  <c r="CA67" i="6"/>
  <c r="CA105" i="6"/>
  <c r="CA114" i="6"/>
  <c r="CA72" i="6"/>
  <c r="CA77" i="6"/>
  <c r="CA117" i="6"/>
  <c r="CA93" i="6"/>
  <c r="CA65" i="6"/>
  <c r="CB64" i="6"/>
  <c r="Q146" i="6"/>
  <c r="CA113" i="6"/>
  <c r="CA89" i="6"/>
  <c r="CA75" i="6"/>
  <c r="CA118" i="6"/>
  <c r="CA83" i="6"/>
  <c r="CA123" i="6"/>
  <c r="CA88" i="6"/>
  <c r="CA127" i="6"/>
  <c r="CA99" i="6"/>
  <c r="CA70" i="6"/>
  <c r="CA104" i="6"/>
  <c r="CA80" i="6"/>
  <c r="CA125" i="6"/>
  <c r="CA97" i="6"/>
  <c r="V139" i="6"/>
  <c r="AD135" i="6"/>
  <c r="AD126" i="6"/>
  <c r="AD134" i="6"/>
  <c r="AD67" i="6"/>
  <c r="AD69" i="6"/>
  <c r="AD80" i="6"/>
  <c r="AD101" i="6"/>
  <c r="AD64" i="6"/>
  <c r="AD128" i="6"/>
  <c r="AD72" i="6"/>
  <c r="AD91" i="6"/>
  <c r="AD92" i="6"/>
  <c r="AD115" i="6"/>
  <c r="AD65" i="6"/>
  <c r="AD122" i="6"/>
  <c r="AD66" i="6"/>
  <c r="AD130" i="6"/>
  <c r="AD75" i="6"/>
  <c r="AD100" i="6"/>
  <c r="Q139" i="6"/>
  <c r="AD63" i="6"/>
  <c r="AD93" i="6"/>
  <c r="AD127" i="6"/>
  <c r="AD88" i="6"/>
  <c r="AD97" i="6"/>
  <c r="AD108" i="6"/>
  <c r="AD129" i="6"/>
  <c r="AD79" i="6"/>
  <c r="AD87" i="6"/>
  <c r="AD103" i="6"/>
  <c r="AD124" i="6"/>
  <c r="AD78" i="6"/>
  <c r="AD86" i="6"/>
  <c r="AD110" i="6"/>
  <c r="AD73" i="6"/>
  <c r="AD81" i="6"/>
  <c r="AD76" i="6"/>
  <c r="AD125" i="6"/>
  <c r="AD107" i="6"/>
  <c r="AD109" i="6"/>
  <c r="AD132" i="6"/>
  <c r="AD82" i="6"/>
  <c r="AD89" i="6"/>
  <c r="AD99" i="6"/>
  <c r="AD121" i="6"/>
  <c r="AD77" i="6"/>
  <c r="AD70" i="6"/>
  <c r="AD120" i="6"/>
  <c r="AD133" i="6"/>
  <c r="AD96" i="6"/>
  <c r="AD104" i="6"/>
  <c r="AD118" i="6"/>
  <c r="AD117" i="6"/>
  <c r="AD95" i="6"/>
  <c r="AD106" i="6"/>
  <c r="AD116" i="6"/>
  <c r="AD90" i="6"/>
  <c r="AD98" i="6"/>
  <c r="AD74" i="6"/>
  <c r="AD102" i="6"/>
  <c r="AD71" i="6"/>
  <c r="AD112" i="6"/>
  <c r="AD123" i="6"/>
  <c r="AD94" i="6"/>
  <c r="AD85" i="6"/>
  <c r="AD111" i="6"/>
  <c r="AD119" i="6"/>
  <c r="AD114" i="6"/>
  <c r="AD83" i="6"/>
  <c r="AD131" i="6"/>
  <c r="AD105" i="6"/>
  <c r="AD113" i="6"/>
  <c r="AD84" i="6"/>
  <c r="AD68" i="6"/>
  <c r="AE56" i="6"/>
  <c r="BF135" i="6"/>
  <c r="BF128" i="6"/>
  <c r="BF129" i="6"/>
  <c r="BF133" i="6"/>
  <c r="BF130" i="6"/>
  <c r="BF134" i="6"/>
  <c r="BG120" i="6"/>
  <c r="V143" i="6"/>
  <c r="BF131" i="6"/>
  <c r="Q143" i="6"/>
  <c r="BF127" i="6"/>
  <c r="BF132" i="6"/>
  <c r="CO135" i="6"/>
  <c r="CO94" i="6"/>
  <c r="CO102" i="6"/>
  <c r="CO63" i="6"/>
  <c r="CO127" i="6"/>
  <c r="CO84" i="6"/>
  <c r="CO49" i="6"/>
  <c r="CO106" i="6"/>
  <c r="CO92" i="6"/>
  <c r="CO104" i="6"/>
  <c r="CO54" i="6"/>
  <c r="CO118" i="6"/>
  <c r="CO109" i="6"/>
  <c r="CO117" i="6"/>
  <c r="CO76" i="6"/>
  <c r="CO51" i="6"/>
  <c r="CO88" i="6"/>
  <c r="CO62" i="6"/>
  <c r="CO68" i="6"/>
  <c r="CO46" i="6"/>
  <c r="CO110" i="6"/>
  <c r="CO107" i="6"/>
  <c r="CO119" i="6"/>
  <c r="CO65" i="6"/>
  <c r="CO129" i="6"/>
  <c r="CO126" i="6"/>
  <c r="CO128" i="6"/>
  <c r="CO80" i="6"/>
  <c r="CO47" i="6"/>
  <c r="CO66" i="6"/>
  <c r="CO99" i="6"/>
  <c r="CO77" i="6"/>
  <c r="CO83" i="6"/>
  <c r="CO57" i="6"/>
  <c r="CO121" i="6"/>
  <c r="CO122" i="6"/>
  <c r="CO132" i="6"/>
  <c r="CO69" i="6"/>
  <c r="CO133" i="6"/>
  <c r="CO91" i="6"/>
  <c r="CO60" i="6"/>
  <c r="CO81" i="6"/>
  <c r="CO103" i="6"/>
  <c r="CO90" i="6"/>
  <c r="CO98" i="6"/>
  <c r="CO61" i="6"/>
  <c r="CO125" i="6"/>
  <c r="CO82" i="6"/>
  <c r="Q148" i="6"/>
  <c r="CO95" i="6"/>
  <c r="CO75" i="6"/>
  <c r="CO100" i="6"/>
  <c r="CO52" i="6"/>
  <c r="CO116" i="6"/>
  <c r="CO105" i="6"/>
  <c r="CO113" i="6"/>
  <c r="CO74" i="6"/>
  <c r="CO86" i="6"/>
  <c r="CO45" i="6"/>
  <c r="CO53" i="6"/>
  <c r="CO108" i="6"/>
  <c r="CO96" i="6"/>
  <c r="CO115" i="6"/>
  <c r="CO56" i="6"/>
  <c r="CO120" i="6"/>
  <c r="CO124" i="6"/>
  <c r="CO134" i="6"/>
  <c r="CO78" i="6"/>
  <c r="CO55" i="6"/>
  <c r="CO97" i="6"/>
  <c r="CP40" i="6"/>
  <c r="V148" i="6"/>
  <c r="CO73" i="6"/>
  <c r="CO72" i="6"/>
  <c r="CO48" i="6"/>
  <c r="CO112" i="6"/>
  <c r="CO111" i="6"/>
  <c r="CO130" i="6"/>
  <c r="CO67" i="6"/>
  <c r="CO131" i="6"/>
  <c r="CO89" i="6"/>
  <c r="CO58" i="6"/>
  <c r="CO70" i="6"/>
  <c r="CO101" i="6"/>
  <c r="CO79" i="6"/>
  <c r="CO87" i="6"/>
  <c r="CO59" i="6"/>
  <c r="CO123" i="6"/>
  <c r="CO71" i="6"/>
  <c r="CO93" i="6"/>
  <c r="CO64" i="6"/>
  <c r="CO85" i="6"/>
  <c r="CO50" i="6"/>
  <c r="CO114" i="6"/>
  <c r="AY95" i="6"/>
  <c r="AY108" i="6"/>
  <c r="AY106" i="6"/>
  <c r="AY94" i="6"/>
  <c r="AY102" i="6"/>
  <c r="AY120" i="6"/>
  <c r="AY128" i="6"/>
  <c r="AY97" i="6"/>
  <c r="AY105" i="6"/>
  <c r="AY113" i="6"/>
  <c r="AY131" i="6"/>
  <c r="V142" i="6"/>
  <c r="AY112" i="6"/>
  <c r="AY121" i="6"/>
  <c r="AY101" i="6"/>
  <c r="AY109" i="6"/>
  <c r="AY117" i="6"/>
  <c r="AY135" i="6"/>
  <c r="AY114" i="6"/>
  <c r="AY122" i="6"/>
  <c r="AY130" i="6"/>
  <c r="AY100" i="6"/>
  <c r="Q142" i="6"/>
  <c r="AY134" i="6"/>
  <c r="AY123" i="6"/>
  <c r="AY118" i="6"/>
  <c r="AY126" i="6"/>
  <c r="AY96" i="6"/>
  <c r="AY104" i="6"/>
  <c r="AY129" i="6"/>
  <c r="AY99" i="6"/>
  <c r="AY107" i="6"/>
  <c r="AY115" i="6"/>
  <c r="AZ88" i="6"/>
  <c r="AY110" i="6"/>
  <c r="AY127" i="6"/>
  <c r="AY125" i="6"/>
  <c r="AY133" i="6"/>
  <c r="AY103" i="6"/>
  <c r="AY111" i="6"/>
  <c r="AY119" i="6"/>
  <c r="AY98" i="6"/>
  <c r="AY116" i="6"/>
  <c r="AY124" i="6"/>
  <c r="AY132" i="6"/>
  <c r="V153" i="6"/>
  <c r="DX38" i="6"/>
  <c r="DX102" i="6"/>
  <c r="DX109" i="6"/>
  <c r="DX23" i="6"/>
  <c r="DX87" i="6"/>
  <c r="DX92" i="6"/>
  <c r="DX26" i="6"/>
  <c r="DX49" i="6"/>
  <c r="DX113" i="6"/>
  <c r="DX124" i="6"/>
  <c r="DX76" i="6"/>
  <c r="DX41" i="6"/>
  <c r="DX50" i="6"/>
  <c r="DX114" i="6"/>
  <c r="DX73" i="6"/>
  <c r="DX68" i="6"/>
  <c r="DX132" i="6"/>
  <c r="DX29" i="6"/>
  <c r="DX93" i="6"/>
  <c r="DX107" i="6"/>
  <c r="DX67" i="6"/>
  <c r="DX131" i="6"/>
  <c r="DX64" i="6"/>
  <c r="DX118" i="6"/>
  <c r="DX75" i="6"/>
  <c r="DX120" i="6"/>
  <c r="DX127" i="6"/>
  <c r="DX101" i="6"/>
  <c r="DX106" i="6"/>
  <c r="DX71" i="6"/>
  <c r="DX79" i="6"/>
  <c r="DX70" i="6"/>
  <c r="DX134" i="6"/>
  <c r="DX58" i="6"/>
  <c r="DX55" i="6"/>
  <c r="DX119" i="6"/>
  <c r="DX25" i="6"/>
  <c r="DX81" i="6"/>
  <c r="DX45" i="6"/>
  <c r="DX44" i="6"/>
  <c r="DX108" i="6"/>
  <c r="DX82" i="6"/>
  <c r="DX126" i="6"/>
  <c r="DX36" i="6"/>
  <c r="DX100" i="6"/>
  <c r="DX105" i="6"/>
  <c r="DX61" i="6"/>
  <c r="DX125" i="6"/>
  <c r="DX35" i="6"/>
  <c r="DX99" i="6"/>
  <c r="DX80" i="6"/>
  <c r="DX54" i="6"/>
  <c r="DX89" i="6"/>
  <c r="DX56" i="6"/>
  <c r="DX63" i="6"/>
  <c r="DX37" i="6"/>
  <c r="DX42" i="6"/>
  <c r="DY16" i="6"/>
  <c r="DX21" i="6"/>
  <c r="DX77" i="6"/>
  <c r="DX72" i="6"/>
  <c r="DX135" i="6"/>
  <c r="DX66" i="6"/>
  <c r="DX27" i="6"/>
  <c r="DX94" i="6"/>
  <c r="DX97" i="6"/>
  <c r="DX51" i="6"/>
  <c r="DX128" i="6"/>
  <c r="DX60" i="6"/>
  <c r="DX116" i="6"/>
  <c r="DX86" i="6"/>
  <c r="DX88" i="6"/>
  <c r="DX69" i="6"/>
  <c r="DX39" i="6"/>
  <c r="DX53" i="6"/>
  <c r="DX104" i="6"/>
  <c r="DX62" i="6"/>
  <c r="DX98" i="6"/>
  <c r="DX59" i="6"/>
  <c r="DX129" i="6"/>
  <c r="DX83" i="6"/>
  <c r="DX46" i="6"/>
  <c r="DX20" i="6"/>
  <c r="DX48" i="6"/>
  <c r="DX57" i="6"/>
  <c r="DX31" i="6"/>
  <c r="DX133" i="6"/>
  <c r="DX103" i="6"/>
  <c r="Q153" i="6"/>
  <c r="DX85" i="6"/>
  <c r="DX90" i="6"/>
  <c r="DX28" i="6"/>
  <c r="DX130" i="6"/>
  <c r="DX91" i="6"/>
  <c r="DX33" i="6"/>
  <c r="DX32" i="6"/>
  <c r="DX115" i="6"/>
  <c r="DX78" i="6"/>
  <c r="DX52" i="6"/>
  <c r="DX112" i="6"/>
  <c r="DX121" i="6"/>
  <c r="DX95" i="6"/>
  <c r="DX74" i="6"/>
  <c r="DX43" i="6"/>
  <c r="DX117" i="6"/>
  <c r="DX40" i="6"/>
  <c r="DX111" i="6"/>
  <c r="DX34" i="6"/>
  <c r="DX96" i="6"/>
  <c r="DX123" i="6"/>
  <c r="DX65" i="6"/>
  <c r="DX19" i="6"/>
  <c r="DX47" i="6"/>
  <c r="DX110" i="6"/>
  <c r="DX84" i="6"/>
  <c r="DX22" i="6"/>
  <c r="DX24" i="6"/>
  <c r="DX122" i="6"/>
  <c r="DX30" i="6"/>
  <c r="BN48" i="6"/>
  <c r="Q144" i="6"/>
  <c r="BM81" i="6"/>
  <c r="BM48" i="6"/>
  <c r="BM112" i="6"/>
  <c r="BM105" i="6"/>
  <c r="BM52" i="6"/>
  <c r="BM100" i="6"/>
  <c r="BM77" i="6"/>
  <c r="BM74" i="6"/>
  <c r="BM126" i="6"/>
  <c r="BM69" i="6"/>
  <c r="BM104" i="6"/>
  <c r="BM78" i="6"/>
  <c r="BM118" i="6"/>
  <c r="BM85" i="6"/>
  <c r="BM59" i="6"/>
  <c r="BM111" i="6"/>
  <c r="BM103" i="6"/>
  <c r="BM87" i="6"/>
  <c r="BM61" i="6"/>
  <c r="BM122" i="6"/>
  <c r="BM114" i="6"/>
  <c r="BM102" i="6"/>
  <c r="BM76" i="6"/>
  <c r="BM116" i="6"/>
  <c r="BM98" i="6"/>
  <c r="BM64" i="6"/>
  <c r="BM63" i="6"/>
  <c r="BM127" i="6"/>
  <c r="BM124" i="6"/>
  <c r="BM67" i="6"/>
  <c r="BM51" i="6"/>
  <c r="BM115" i="6"/>
  <c r="BM89" i="6"/>
  <c r="BM60" i="6"/>
  <c r="BM86" i="6"/>
  <c r="BM110" i="6"/>
  <c r="BM50" i="6"/>
  <c r="BM133" i="6"/>
  <c r="BM117" i="6"/>
  <c r="BM91" i="6"/>
  <c r="BM120" i="6"/>
  <c r="BM119" i="6"/>
  <c r="BM93" i="6"/>
  <c r="BM129" i="6"/>
  <c r="BM134" i="6"/>
  <c r="BM108" i="6"/>
  <c r="BM131" i="6"/>
  <c r="BM128" i="6"/>
  <c r="BM49" i="6"/>
  <c r="BM113" i="6"/>
  <c r="BM109" i="6"/>
  <c r="BM80" i="6"/>
  <c r="BM84" i="6"/>
  <c r="BM68" i="6"/>
  <c r="BM132" i="6"/>
  <c r="BM106" i="6"/>
  <c r="BM79" i="6"/>
  <c r="BM94" i="6"/>
  <c r="BM82" i="6"/>
  <c r="BM123" i="6"/>
  <c r="BM56" i="6"/>
  <c r="BM58" i="6"/>
  <c r="BM125" i="6"/>
  <c r="BM65" i="6"/>
  <c r="BM90" i="6"/>
  <c r="BM71" i="6"/>
  <c r="V144" i="6"/>
  <c r="BM135" i="6"/>
  <c r="BM66" i="6"/>
  <c r="BM130" i="6"/>
  <c r="BM95" i="6"/>
  <c r="BM75" i="6"/>
  <c r="BM83" i="6"/>
  <c r="BM57" i="6"/>
  <c r="BM121" i="6"/>
  <c r="BM107" i="6"/>
  <c r="BM54" i="6"/>
  <c r="BM72" i="6"/>
  <c r="BM96" i="6"/>
  <c r="BM101" i="6"/>
  <c r="BM53" i="6"/>
  <c r="BM62" i="6"/>
  <c r="BM88" i="6"/>
  <c r="BM55" i="6"/>
  <c r="BM73" i="6"/>
  <c r="BM97" i="6"/>
  <c r="BM70" i="6"/>
  <c r="BM92" i="6"/>
  <c r="BM99" i="6"/>
  <c r="AR133" i="6"/>
  <c r="AR48" i="6"/>
  <c r="AR39" i="6"/>
  <c r="AR30" i="6"/>
  <c r="AR94" i="6"/>
  <c r="AR76" i="6"/>
  <c r="AR88" i="6"/>
  <c r="AR55" i="6"/>
  <c r="AR119" i="6"/>
  <c r="AR110" i="6"/>
  <c r="AR103" i="6"/>
  <c r="AR64" i="6"/>
  <c r="AR128" i="6"/>
  <c r="AR33" i="6"/>
  <c r="AR34" i="6"/>
  <c r="AR98" i="6"/>
  <c r="AR63" i="6"/>
  <c r="AR56" i="6"/>
  <c r="AR41" i="6"/>
  <c r="AR105" i="6"/>
  <c r="AR91" i="6"/>
  <c r="AR114" i="6"/>
  <c r="AR68" i="6"/>
  <c r="AR132" i="6"/>
  <c r="AR125" i="6"/>
  <c r="AR118" i="6"/>
  <c r="AR75" i="6"/>
  <c r="AR25" i="6"/>
  <c r="AR50" i="6"/>
  <c r="AR38" i="6"/>
  <c r="AR102" i="6"/>
  <c r="V141" i="6"/>
  <c r="AR78" i="6"/>
  <c r="AR71" i="6"/>
  <c r="AR45" i="6"/>
  <c r="AR109" i="6"/>
  <c r="AR112" i="6"/>
  <c r="AR129" i="6"/>
  <c r="AR72" i="6"/>
  <c r="AR31" i="6"/>
  <c r="AR135" i="6"/>
  <c r="AR79" i="6"/>
  <c r="AR44" i="6"/>
  <c r="AR65" i="6"/>
  <c r="AR49" i="6"/>
  <c r="AR113" i="6"/>
  <c r="AR93" i="6"/>
  <c r="AR86" i="6"/>
  <c r="AR58" i="6"/>
  <c r="AR122" i="6"/>
  <c r="AR127" i="6"/>
  <c r="AR83" i="6"/>
  <c r="AR46" i="6"/>
  <c r="AR35" i="6"/>
  <c r="AR28" i="6"/>
  <c r="AR92" i="6"/>
  <c r="AR61" i="6"/>
  <c r="AR84" i="6"/>
  <c r="AR53" i="6"/>
  <c r="AR117" i="6"/>
  <c r="AR106" i="6"/>
  <c r="AR101" i="6"/>
  <c r="AR62" i="6"/>
  <c r="AR126" i="6"/>
  <c r="AR22" i="6"/>
  <c r="AR23" i="6"/>
  <c r="AR87" i="6"/>
  <c r="AR59" i="6"/>
  <c r="AR52" i="6"/>
  <c r="AR32" i="6"/>
  <c r="AR96" i="6"/>
  <c r="AR80" i="6"/>
  <c r="AR99" i="6"/>
  <c r="AR66" i="6"/>
  <c r="AR130" i="6"/>
  <c r="AR121" i="6"/>
  <c r="AR116" i="6"/>
  <c r="AR73" i="6"/>
  <c r="Q141" i="6"/>
  <c r="AR37" i="6"/>
  <c r="AR36" i="6"/>
  <c r="AR100" i="6"/>
  <c r="AR74" i="6"/>
  <c r="AR67" i="6"/>
  <c r="AR43" i="6"/>
  <c r="AR107" i="6"/>
  <c r="AR108" i="6"/>
  <c r="AR120" i="6"/>
  <c r="AR70" i="6"/>
  <c r="AR134" i="6"/>
  <c r="AR27" i="6"/>
  <c r="AS16" i="6"/>
  <c r="AR131" i="6"/>
  <c r="AR77" i="6"/>
  <c r="AR29" i="6"/>
  <c r="AR54" i="6"/>
  <c r="AR40" i="6"/>
  <c r="AR104" i="6"/>
  <c r="AR89" i="6"/>
  <c r="AR82" i="6"/>
  <c r="AR47" i="6"/>
  <c r="AR111" i="6"/>
  <c r="AR123" i="6"/>
  <c r="AR81" i="6"/>
  <c r="AR42" i="6"/>
  <c r="AR24" i="6"/>
  <c r="AR26" i="6"/>
  <c r="AR90" i="6"/>
  <c r="AR57" i="6"/>
  <c r="AR69" i="6"/>
  <c r="AR51" i="6"/>
  <c r="AR115" i="6"/>
  <c r="AR95" i="6"/>
  <c r="AR97" i="6"/>
  <c r="AR60" i="6"/>
  <c r="AR124" i="6"/>
  <c r="AR21" i="6"/>
  <c r="AR85" i="6"/>
  <c r="DD32" i="6"/>
  <c r="V150" i="6"/>
  <c r="DC128" i="6"/>
  <c r="DC82" i="6"/>
  <c r="DC76" i="6"/>
  <c r="DC132" i="6"/>
  <c r="DC36" i="6"/>
  <c r="DC58" i="6"/>
  <c r="DC47" i="6"/>
  <c r="DC120" i="6"/>
  <c r="DC56" i="6"/>
  <c r="DC121" i="6"/>
  <c r="DC57" i="6"/>
  <c r="DC113" i="6"/>
  <c r="DC77" i="6"/>
  <c r="DC55" i="6"/>
  <c r="DC101" i="6"/>
  <c r="DC37" i="6"/>
  <c r="DC95" i="6"/>
  <c r="DC87" i="6"/>
  <c r="DC60" i="6"/>
  <c r="DC99" i="6"/>
  <c r="DC35" i="6"/>
  <c r="DC93" i="6"/>
  <c r="DC85" i="6"/>
  <c r="DC66" i="6"/>
  <c r="Q150" i="6"/>
  <c r="DC129" i="6"/>
  <c r="DC65" i="6"/>
  <c r="DC123" i="6"/>
  <c r="DC59" i="6"/>
  <c r="DC115" i="6"/>
  <c r="DC72" i="6"/>
  <c r="DC107" i="6"/>
  <c r="DC75" i="6"/>
  <c r="DC103" i="6"/>
  <c r="DC39" i="6"/>
  <c r="DC106" i="6"/>
  <c r="DC42" i="6"/>
  <c r="DC98" i="6"/>
  <c r="DC124" i="6"/>
  <c r="DC51" i="6"/>
  <c r="DC96" i="6"/>
  <c r="DC86" i="6"/>
  <c r="DC80" i="6"/>
  <c r="DC64" i="6"/>
  <c r="DC109" i="6"/>
  <c r="DC84" i="6"/>
  <c r="DC78" i="6"/>
  <c r="DC134" i="6"/>
  <c r="DC53" i="6"/>
  <c r="DC105" i="6"/>
  <c r="DC114" i="6"/>
  <c r="DC50" i="6"/>
  <c r="DC108" i="6"/>
  <c r="DC44" i="6"/>
  <c r="DC100" i="6"/>
  <c r="DC111" i="6"/>
  <c r="DC43" i="6"/>
  <c r="DC122" i="6"/>
  <c r="DC88" i="6"/>
  <c r="DC89" i="6"/>
  <c r="DC81" i="6"/>
  <c r="DC45" i="6"/>
  <c r="DC79" i="6"/>
  <c r="DC133" i="6"/>
  <c r="DC69" i="6"/>
  <c r="DC127" i="6"/>
  <c r="DC63" i="6"/>
  <c r="DC119" i="6"/>
  <c r="DC49" i="6"/>
  <c r="DC92" i="6"/>
  <c r="DC131" i="6"/>
  <c r="DC67" i="6"/>
  <c r="DC125" i="6"/>
  <c r="DC61" i="6"/>
  <c r="DC117" i="6"/>
  <c r="DC62" i="6"/>
  <c r="DC94" i="6"/>
  <c r="DC70" i="6"/>
  <c r="DC126" i="6"/>
  <c r="DC97" i="6"/>
  <c r="DC33" i="6"/>
  <c r="DC91" i="6"/>
  <c r="DC83" i="6"/>
  <c r="DC40" i="6"/>
  <c r="DC135" i="6"/>
  <c r="DC71" i="6"/>
  <c r="DC74" i="6"/>
  <c r="DC130" i="6"/>
  <c r="DC41" i="6"/>
  <c r="DC68" i="6"/>
  <c r="DC118" i="6"/>
  <c r="DC54" i="6"/>
  <c r="DC112" i="6"/>
  <c r="DC48" i="6"/>
  <c r="DC104" i="6"/>
  <c r="DC73" i="6"/>
  <c r="DC34" i="6"/>
  <c r="DC116" i="6"/>
  <c r="DC52" i="6"/>
  <c r="DC110" i="6"/>
  <c r="DC46" i="6"/>
  <c r="DC102" i="6"/>
  <c r="DC90" i="6"/>
  <c r="DC38" i="6"/>
  <c r="DJ66" i="6"/>
  <c r="DJ103" i="6"/>
  <c r="DJ106" i="6"/>
  <c r="DJ98" i="6"/>
  <c r="DJ124" i="6"/>
  <c r="DJ75" i="6"/>
  <c r="DJ133" i="6"/>
  <c r="DJ69" i="6"/>
  <c r="DJ127" i="6"/>
  <c r="DJ63" i="6"/>
  <c r="DJ119" i="6"/>
  <c r="DJ49" i="6"/>
  <c r="DJ96" i="6"/>
  <c r="DJ131" i="6"/>
  <c r="DJ67" i="6"/>
  <c r="DJ125" i="6"/>
  <c r="DJ61" i="6"/>
  <c r="DJ117" i="6"/>
  <c r="DJ62" i="6"/>
  <c r="DJ64" i="6"/>
  <c r="DJ114" i="6"/>
  <c r="DJ50" i="6"/>
  <c r="DJ108" i="6"/>
  <c r="DJ44" i="6"/>
  <c r="DJ100" i="6"/>
  <c r="DJ111" i="6"/>
  <c r="V151" i="6"/>
  <c r="DJ126" i="6"/>
  <c r="DJ105" i="6"/>
  <c r="DJ88" i="6"/>
  <c r="DJ89" i="6"/>
  <c r="DJ81" i="6"/>
  <c r="DJ58" i="6"/>
  <c r="DJ122" i="6"/>
  <c r="DJ118" i="6"/>
  <c r="DJ54" i="6"/>
  <c r="DJ112" i="6"/>
  <c r="DJ48" i="6"/>
  <c r="DJ104" i="6"/>
  <c r="DJ73" i="6"/>
  <c r="DJ51" i="6"/>
  <c r="DJ116" i="6"/>
  <c r="DJ52" i="6"/>
  <c r="DJ110" i="6"/>
  <c r="DJ46" i="6"/>
  <c r="DJ102" i="6"/>
  <c r="DJ90" i="6"/>
  <c r="DJ60" i="6"/>
  <c r="DJ92" i="6"/>
  <c r="DJ97" i="6"/>
  <c r="DJ91" i="6"/>
  <c r="DJ83" i="6"/>
  <c r="DJ45" i="6"/>
  <c r="DK40" i="6"/>
  <c r="Q151" i="6"/>
  <c r="DJ128" i="6"/>
  <c r="DJ135" i="6"/>
  <c r="DJ71" i="6"/>
  <c r="DJ74" i="6"/>
  <c r="DJ130" i="6"/>
  <c r="DJ101" i="6"/>
  <c r="DJ95" i="6"/>
  <c r="DJ87" i="6"/>
  <c r="DJ79" i="6"/>
  <c r="DJ99" i="6"/>
  <c r="DJ93" i="6"/>
  <c r="DJ85" i="6"/>
  <c r="DJ109" i="6"/>
  <c r="DJ68" i="6"/>
  <c r="DJ82" i="6"/>
  <c r="DJ76" i="6"/>
  <c r="DJ132" i="6"/>
  <c r="DJ107" i="6"/>
  <c r="DJ120" i="6"/>
  <c r="DJ56" i="6"/>
  <c r="DJ121" i="6"/>
  <c r="DJ57" i="6"/>
  <c r="DJ113" i="6"/>
  <c r="DJ77" i="6"/>
  <c r="DJ47" i="6"/>
  <c r="DJ86" i="6"/>
  <c r="DJ80" i="6"/>
  <c r="DJ55" i="6"/>
  <c r="DJ53" i="6"/>
  <c r="DJ84" i="6"/>
  <c r="DJ78" i="6"/>
  <c r="DJ134" i="6"/>
  <c r="DJ94" i="6"/>
  <c r="DJ129" i="6"/>
  <c r="DJ65" i="6"/>
  <c r="DJ123" i="6"/>
  <c r="DJ59" i="6"/>
  <c r="DJ115" i="6"/>
  <c r="DJ72" i="6"/>
  <c r="DJ70" i="6"/>
  <c r="W97" i="6"/>
  <c r="W127" i="6"/>
  <c r="W131" i="6"/>
  <c r="W112" i="6"/>
  <c r="W111" i="6"/>
  <c r="W129" i="6"/>
  <c r="W117" i="6"/>
  <c r="W135" i="6"/>
  <c r="W98" i="6"/>
  <c r="W121" i="6"/>
  <c r="W100" i="6"/>
  <c r="X88" i="6"/>
  <c r="V138" i="6"/>
  <c r="W118" i="6"/>
  <c r="W133" i="6"/>
  <c r="W104" i="6"/>
  <c r="W94" i="6"/>
  <c r="W113" i="6"/>
  <c r="W99" i="6"/>
  <c r="W96" i="6"/>
  <c r="W123" i="6"/>
  <c r="W125" i="6"/>
  <c r="W128" i="6"/>
  <c r="W110" i="6"/>
  <c r="W107" i="6"/>
  <c r="W119" i="6"/>
  <c r="W120" i="6"/>
  <c r="W105" i="6"/>
  <c r="W109" i="6"/>
  <c r="W130" i="6"/>
  <c r="W103" i="6"/>
  <c r="W102" i="6"/>
  <c r="Q138" i="6"/>
  <c r="W132" i="6"/>
  <c r="W122" i="6"/>
  <c r="W93" i="6"/>
  <c r="W101" i="6"/>
  <c r="W124" i="6"/>
  <c r="W95" i="6"/>
  <c r="W115" i="6"/>
  <c r="W108" i="6"/>
  <c r="W134" i="6"/>
  <c r="W116" i="6"/>
  <c r="W126" i="6"/>
  <c r="W106" i="6"/>
  <c r="W114" i="6"/>
  <c r="ET48" i="6"/>
  <c r="V156" i="6"/>
  <c r="ES100" i="6"/>
  <c r="ES107" i="6"/>
  <c r="ES74" i="6"/>
  <c r="ES54" i="6"/>
  <c r="ES118" i="6"/>
  <c r="ES122" i="6"/>
  <c r="ES70" i="6"/>
  <c r="ES134" i="6"/>
  <c r="ES108" i="6"/>
  <c r="ES88" i="6"/>
  <c r="ES92" i="6"/>
  <c r="ES55" i="6"/>
  <c r="ES119" i="6"/>
  <c r="ES93" i="6"/>
  <c r="ES82" i="6"/>
  <c r="ES135" i="6"/>
  <c r="ES81" i="6"/>
  <c r="ES48" i="6"/>
  <c r="ES112" i="6"/>
  <c r="ES99" i="6"/>
  <c r="Q156" i="6"/>
  <c r="ES73" i="6"/>
  <c r="ES51" i="6"/>
  <c r="ES115" i="6"/>
  <c r="ES89" i="6"/>
  <c r="ES77" i="6"/>
  <c r="ES69" i="6"/>
  <c r="ES133" i="6"/>
  <c r="ES85" i="6"/>
  <c r="ES75" i="6"/>
  <c r="ES59" i="6"/>
  <c r="ES123" i="6"/>
  <c r="ES103" i="6"/>
  <c r="ES128" i="6"/>
  <c r="ES72" i="6"/>
  <c r="ES110" i="6"/>
  <c r="ES97" i="6"/>
  <c r="ES98" i="6"/>
  <c r="ES94" i="6"/>
  <c r="ES63" i="6"/>
  <c r="ES127" i="6"/>
  <c r="ES52" i="6"/>
  <c r="ES116" i="6"/>
  <c r="ES109" i="6"/>
  <c r="ES68" i="6"/>
  <c r="ES132" i="6"/>
  <c r="ES106" i="6"/>
  <c r="ES86" i="6"/>
  <c r="ES102" i="6"/>
  <c r="ES111" i="6"/>
  <c r="ES76" i="6"/>
  <c r="ES56" i="6"/>
  <c r="ES120" i="6"/>
  <c r="ES87" i="6"/>
  <c r="ES90" i="6"/>
  <c r="ES61" i="6"/>
  <c r="ES125" i="6"/>
  <c r="ES50" i="6"/>
  <c r="ES114" i="6"/>
  <c r="ES62" i="6"/>
  <c r="ES49" i="6"/>
  <c r="ES113" i="6"/>
  <c r="ES126" i="6"/>
  <c r="ES80" i="6"/>
  <c r="ES64" i="6"/>
  <c r="ES67" i="6"/>
  <c r="ES131" i="6"/>
  <c r="ES83" i="6"/>
  <c r="ES60" i="6"/>
  <c r="ES57" i="6"/>
  <c r="ES121" i="6"/>
  <c r="ES101" i="6"/>
  <c r="ES79" i="6"/>
  <c r="ES53" i="6"/>
  <c r="ES117" i="6"/>
  <c r="ES91" i="6"/>
  <c r="ES96" i="6"/>
  <c r="ES71" i="6"/>
  <c r="ES104" i="6"/>
  <c r="ES124" i="6"/>
  <c r="ES78" i="6"/>
  <c r="ES58" i="6"/>
  <c r="ES65" i="6"/>
  <c r="ES129" i="6"/>
  <c r="ES105" i="6"/>
  <c r="ES66" i="6"/>
  <c r="ES130" i="6"/>
  <c r="ES95" i="6"/>
  <c r="ES84" i="6"/>
  <c r="V147" i="6"/>
  <c r="CH95" i="6"/>
  <c r="CH90" i="6"/>
  <c r="CH104" i="6"/>
  <c r="CH106" i="6"/>
  <c r="CH94" i="6"/>
  <c r="CH113" i="6"/>
  <c r="CH108" i="6"/>
  <c r="CH105" i="6"/>
  <c r="CH117" i="6"/>
  <c r="CH129" i="6"/>
  <c r="CH122" i="6"/>
  <c r="CH132" i="6"/>
  <c r="CH78" i="6"/>
  <c r="CH99" i="6"/>
  <c r="CH88" i="6"/>
  <c r="CH133" i="6"/>
  <c r="Q147" i="6"/>
  <c r="CH112" i="6"/>
  <c r="CH134" i="6"/>
  <c r="CH83" i="6"/>
  <c r="CH121" i="6"/>
  <c r="CH77" i="6"/>
  <c r="CH87" i="6"/>
  <c r="CH123" i="6"/>
  <c r="CH82" i="6"/>
  <c r="CH93" i="6"/>
  <c r="CH79" i="6"/>
  <c r="CH100" i="6"/>
  <c r="CH116" i="6"/>
  <c r="CH120" i="6"/>
  <c r="CH86" i="6"/>
  <c r="CI72" i="6"/>
  <c r="CH135" i="6"/>
  <c r="CH96" i="6"/>
  <c r="CH102" i="6"/>
  <c r="CH127" i="6"/>
  <c r="CH107" i="6"/>
  <c r="CH115" i="6"/>
  <c r="CH111" i="6"/>
  <c r="CH119" i="6"/>
  <c r="CH97" i="6"/>
  <c r="CH110" i="6"/>
  <c r="CH109" i="6"/>
  <c r="CH130" i="6"/>
  <c r="CH131" i="6"/>
  <c r="CH118" i="6"/>
  <c r="CH126" i="6"/>
  <c r="CH124" i="6"/>
  <c r="CH80" i="6"/>
  <c r="CH128" i="6"/>
  <c r="CH89" i="6"/>
  <c r="CH81" i="6"/>
  <c r="CH91" i="6"/>
  <c r="CH85" i="6"/>
  <c r="CH114" i="6"/>
  <c r="CH92" i="6"/>
  <c r="CH98" i="6"/>
  <c r="CH125" i="6"/>
  <c r="CH84" i="6"/>
  <c r="CH101" i="6"/>
  <c r="CH103" i="6"/>
  <c r="BN64" i="6"/>
  <c r="CV128" i="6"/>
  <c r="CV72" i="6"/>
  <c r="CV59" i="6"/>
  <c r="CV123" i="6"/>
  <c r="CV82" i="6"/>
  <c r="CV49" i="6"/>
  <c r="CV113" i="6"/>
  <c r="CV93" i="6"/>
  <c r="CV90" i="6"/>
  <c r="CV52" i="6"/>
  <c r="CV116" i="6"/>
  <c r="CV83" i="6"/>
  <c r="CV47" i="6"/>
  <c r="CV63" i="6"/>
  <c r="CV127" i="6"/>
  <c r="CV86" i="6"/>
  <c r="CV58" i="6"/>
  <c r="CV53" i="6"/>
  <c r="CV117" i="6"/>
  <c r="CV106" i="6"/>
  <c r="CV105" i="6"/>
  <c r="CV56" i="6"/>
  <c r="CV120" i="6"/>
  <c r="CV135" i="6"/>
  <c r="CV87" i="6"/>
  <c r="CV75" i="6"/>
  <c r="CV76" i="6"/>
  <c r="CV97" i="6"/>
  <c r="CV92" i="6"/>
  <c r="CV66" i="6"/>
  <c r="CV130" i="6"/>
  <c r="CV46" i="6"/>
  <c r="CV110" i="6"/>
  <c r="CV111" i="6"/>
  <c r="CV67" i="6"/>
  <c r="CV131" i="6"/>
  <c r="CV100" i="6"/>
  <c r="CV94" i="6"/>
  <c r="CV80" i="6"/>
  <c r="CV60" i="6"/>
  <c r="CV101" i="6"/>
  <c r="CV122" i="6"/>
  <c r="CV70" i="6"/>
  <c r="CV134" i="6"/>
  <c r="CV57" i="6"/>
  <c r="CV121" i="6"/>
  <c r="CV71" i="6"/>
  <c r="Q149" i="6"/>
  <c r="CV126" i="6"/>
  <c r="CV104" i="6"/>
  <c r="CV91" i="6"/>
  <c r="CV73" i="6"/>
  <c r="CV50" i="6"/>
  <c r="CV114" i="6"/>
  <c r="CV81" i="6"/>
  <c r="CV61" i="6"/>
  <c r="CV125" i="6"/>
  <c r="CV84" i="6"/>
  <c r="CV45" i="6"/>
  <c r="CV51" i="6"/>
  <c r="CV115" i="6"/>
  <c r="CV95" i="6"/>
  <c r="CV96" i="6"/>
  <c r="CV54" i="6"/>
  <c r="CV118" i="6"/>
  <c r="CV85" i="6"/>
  <c r="CV62" i="6"/>
  <c r="CV74" i="6"/>
  <c r="CV88" i="6"/>
  <c r="CW40" i="6"/>
  <c r="V149" i="6"/>
  <c r="CV77" i="6"/>
  <c r="CV55" i="6"/>
  <c r="CV119" i="6"/>
  <c r="CV44" i="6"/>
  <c r="CV108" i="6"/>
  <c r="CV109" i="6"/>
  <c r="CV65" i="6"/>
  <c r="CV129" i="6"/>
  <c r="CV98" i="6"/>
  <c r="CV79" i="6"/>
  <c r="CV78" i="6"/>
  <c r="CV43" i="6"/>
  <c r="CV99" i="6"/>
  <c r="CV107" i="6"/>
  <c r="CV68" i="6"/>
  <c r="CV132" i="6"/>
  <c r="CV48" i="6"/>
  <c r="CV112" i="6"/>
  <c r="CV124" i="6"/>
  <c r="CV69" i="6"/>
  <c r="CV133" i="6"/>
  <c r="CV102" i="6"/>
  <c r="CV89" i="6"/>
  <c r="CV64" i="6"/>
  <c r="CV103" i="6"/>
  <c r="V152" i="6"/>
  <c r="DQ133" i="6"/>
  <c r="DQ69" i="6"/>
  <c r="DQ127" i="6"/>
  <c r="DQ63" i="6"/>
  <c r="DQ119" i="6"/>
  <c r="DQ49" i="6"/>
  <c r="DQ131" i="6"/>
  <c r="DQ67" i="6"/>
  <c r="DQ125" i="6"/>
  <c r="DQ61" i="6"/>
  <c r="DQ117" i="6"/>
  <c r="DQ62" i="6"/>
  <c r="DQ94" i="6"/>
  <c r="DQ65" i="6"/>
  <c r="DQ59" i="6"/>
  <c r="DQ72" i="6"/>
  <c r="DQ92" i="6"/>
  <c r="DQ120" i="6"/>
  <c r="Q152" i="6"/>
  <c r="DQ118" i="6"/>
  <c r="DQ54" i="6"/>
  <c r="DQ112" i="6"/>
  <c r="DQ48" i="6"/>
  <c r="DQ104" i="6"/>
  <c r="DQ73" i="6"/>
  <c r="DQ116" i="6"/>
  <c r="DQ52" i="6"/>
  <c r="DQ110" i="6"/>
  <c r="DQ46" i="6"/>
  <c r="DQ102" i="6"/>
  <c r="DQ90" i="6"/>
  <c r="DQ38" i="6"/>
  <c r="DQ40" i="6"/>
  <c r="DQ88" i="6"/>
  <c r="DQ89" i="6"/>
  <c r="DQ81" i="6"/>
  <c r="DQ66" i="6"/>
  <c r="DQ82" i="6"/>
  <c r="DQ76" i="6"/>
  <c r="DQ36" i="6"/>
  <c r="DQ135" i="6"/>
  <c r="DQ130" i="6"/>
  <c r="DQ68" i="6"/>
  <c r="DQ55" i="6"/>
  <c r="DQ128" i="6"/>
  <c r="DQ101" i="6"/>
  <c r="DQ37" i="6"/>
  <c r="DQ95" i="6"/>
  <c r="DQ87" i="6"/>
  <c r="DQ99" i="6"/>
  <c r="DQ93" i="6"/>
  <c r="DQ85" i="6"/>
  <c r="DQ129" i="6"/>
  <c r="DQ123" i="6"/>
  <c r="DQ115" i="6"/>
  <c r="DQ107" i="6"/>
  <c r="DQ60" i="6"/>
  <c r="DQ56" i="6"/>
  <c r="DR32" i="6"/>
  <c r="DQ86" i="6"/>
  <c r="DQ80" i="6"/>
  <c r="DQ126" i="6"/>
  <c r="DQ84" i="6"/>
  <c r="DQ78" i="6"/>
  <c r="DQ134" i="6"/>
  <c r="DQ53" i="6"/>
  <c r="DQ97" i="6"/>
  <c r="DQ91" i="6"/>
  <c r="DQ83" i="6"/>
  <c r="DQ64" i="6"/>
  <c r="DQ109" i="6"/>
  <c r="DQ45" i="6"/>
  <c r="DQ70" i="6"/>
  <c r="DQ132" i="6"/>
  <c r="DQ58" i="6"/>
  <c r="DQ75" i="6"/>
  <c r="DQ71" i="6"/>
  <c r="DQ74" i="6"/>
  <c r="DQ41" i="6"/>
  <c r="DQ79" i="6"/>
  <c r="DQ105" i="6"/>
  <c r="DQ108" i="6"/>
  <c r="DQ43" i="6"/>
  <c r="DQ103" i="6"/>
  <c r="DQ42" i="6"/>
  <c r="DQ113" i="6"/>
  <c r="DQ114" i="6"/>
  <c r="DQ44" i="6"/>
  <c r="DQ39" i="6"/>
  <c r="DQ98" i="6"/>
  <c r="DQ96" i="6"/>
  <c r="DQ121" i="6"/>
  <c r="DQ77" i="6"/>
  <c r="DQ50" i="6"/>
  <c r="DQ100" i="6"/>
  <c r="DQ47" i="6"/>
  <c r="DQ124" i="6"/>
  <c r="DQ57" i="6"/>
  <c r="DQ111" i="6"/>
  <c r="DQ122" i="6"/>
  <c r="DQ106" i="6"/>
  <c r="DQ51" i="6"/>
  <c r="EM56" i="6"/>
  <c r="EL93" i="6"/>
  <c r="EL109" i="6"/>
  <c r="EL71" i="6"/>
  <c r="EL87" i="6"/>
  <c r="EL112" i="6"/>
  <c r="EL97" i="6"/>
  <c r="EL117" i="6"/>
  <c r="EL131" i="6"/>
  <c r="EL60" i="6"/>
  <c r="EL86" i="6"/>
  <c r="V155" i="6"/>
  <c r="EL83" i="6"/>
  <c r="EL110" i="6"/>
  <c r="EL62" i="6"/>
  <c r="EL126" i="6"/>
  <c r="EL88" i="6"/>
  <c r="EL115" i="6"/>
  <c r="EL63" i="6"/>
  <c r="EL127" i="6"/>
  <c r="EL79" i="6"/>
  <c r="EL68" i="6"/>
  <c r="EL114" i="6"/>
  <c r="EL70" i="6"/>
  <c r="EL106" i="6"/>
  <c r="EL122" i="6"/>
  <c r="EL84" i="6"/>
  <c r="EL128" i="6"/>
  <c r="EL102" i="6"/>
  <c r="EL123" i="6"/>
  <c r="EL75" i="6"/>
  <c r="EL101" i="6"/>
  <c r="EL80" i="6"/>
  <c r="EL104" i="6"/>
  <c r="EL129" i="6"/>
  <c r="EL73" i="6"/>
  <c r="EL130" i="6"/>
  <c r="EL85" i="6"/>
  <c r="EL118" i="6"/>
  <c r="Q155" i="6"/>
  <c r="EL113" i="6"/>
  <c r="EL61" i="6"/>
  <c r="EL125" i="6"/>
  <c r="EL77" i="6"/>
  <c r="EL103" i="6"/>
  <c r="EL96" i="6"/>
  <c r="EL65" i="6"/>
  <c r="EL100" i="6"/>
  <c r="EL121" i="6"/>
  <c r="EL99" i="6"/>
  <c r="EL76" i="6"/>
  <c r="EL92" i="6"/>
  <c r="EL132" i="6"/>
  <c r="EL78" i="6"/>
  <c r="EL94" i="6"/>
  <c r="EL98" i="6"/>
  <c r="EL120" i="6"/>
  <c r="EL66" i="6"/>
  <c r="EL95" i="6"/>
  <c r="EL111" i="6"/>
  <c r="EL82" i="6"/>
  <c r="EL119" i="6"/>
  <c r="EL74" i="6"/>
  <c r="EL90" i="6"/>
  <c r="EL81" i="6"/>
  <c r="EL116" i="6"/>
  <c r="EL91" i="6"/>
  <c r="EL107" i="6"/>
  <c r="EL134" i="6"/>
  <c r="EL69" i="6"/>
  <c r="EL133" i="6"/>
  <c r="EL135" i="6"/>
  <c r="EL64" i="6"/>
  <c r="EL89" i="6"/>
  <c r="EL105" i="6"/>
  <c r="EL67" i="6"/>
  <c r="EL72" i="6"/>
  <c r="EL108" i="6"/>
  <c r="EL124" i="6"/>
  <c r="F35" i="6"/>
  <c r="H34" i="6"/>
  <c r="G35" i="6" s="1"/>
  <c r="F28" i="7"/>
  <c r="G28" i="7" s="1"/>
  <c r="H28" i="7" s="1"/>
  <c r="H35" i="6" l="1"/>
  <c r="G36" i="6" s="1"/>
  <c r="F36" i="6"/>
  <c r="E29" i="7"/>
  <c r="F37" i="6" l="1"/>
  <c r="H36" i="6"/>
  <c r="G37" i="6" s="1"/>
  <c r="F29" i="7"/>
  <c r="G29" i="7" s="1"/>
  <c r="H29" i="7" s="1"/>
  <c r="F38" i="6" l="1"/>
  <c r="H38" i="6" s="1"/>
  <c r="H37" i="6"/>
  <c r="G38" i="6" s="1"/>
  <c r="E30" i="7"/>
  <c r="F30" i="7" l="1"/>
  <c r="G30" i="7" s="1"/>
  <c r="H30" i="7" s="1"/>
  <c r="E31" i="7" l="1"/>
  <c r="F31" i="7" l="1"/>
  <c r="G31" i="7" s="1"/>
  <c r="H31" i="7" s="1"/>
  <c r="E32" i="7" l="1"/>
  <c r="F32" i="7" l="1"/>
  <c r="G32" i="7" s="1"/>
  <c r="H32" i="7" s="1"/>
  <c r="E33" i="7" l="1"/>
  <c r="F33" i="7" l="1"/>
  <c r="G33" i="7" s="1"/>
  <c r="H33" i="7" s="1"/>
  <c r="E34" i="7" l="1"/>
  <c r="F34" i="7" l="1"/>
  <c r="G34" i="7" s="1"/>
  <c r="H34" i="7" s="1"/>
  <c r="E35" i="7" l="1"/>
  <c r="F35" i="7" l="1"/>
  <c r="G35" i="7" s="1"/>
  <c r="H35" i="7" s="1"/>
  <c r="E36" i="7" l="1"/>
  <c r="F36" i="7" l="1"/>
  <c r="G36" i="7" s="1"/>
  <c r="H36" i="7" s="1"/>
  <c r="E37" i="7" l="1"/>
  <c r="F37" i="7" l="1"/>
  <c r="G37" i="7" s="1"/>
  <c r="H37" i="7" s="1"/>
  <c r="E38" i="7" l="1"/>
  <c r="F38" i="7" l="1"/>
  <c r="G38" i="7" s="1"/>
  <c r="H38" i="7" s="1"/>
  <c r="E39" i="7" l="1"/>
  <c r="F39" i="7" l="1"/>
  <c r="G39" i="7" s="1"/>
  <c r="H39" i="7" s="1"/>
  <c r="E40" i="7" l="1"/>
  <c r="F40" i="7" l="1"/>
  <c r="G40" i="7" s="1"/>
  <c r="H40" i="7" s="1"/>
  <c r="E41" i="7" l="1"/>
  <c r="F41" i="7" l="1"/>
  <c r="G41" i="7" s="1"/>
  <c r="H41" i="7" s="1"/>
  <c r="E42" i="7" l="1"/>
  <c r="F42" i="7" l="1"/>
  <c r="G42" i="7" s="1"/>
  <c r="H42" i="7" s="1"/>
  <c r="E43" i="7" l="1"/>
  <c r="F43" i="7" l="1"/>
  <c r="G43" i="7" s="1"/>
  <c r="H43" i="7" s="1"/>
  <c r="E44" i="7" l="1"/>
  <c r="F44" i="7" l="1"/>
  <c r="G44" i="7" s="1"/>
  <c r="H44" i="7" s="1"/>
  <c r="E45" i="7" l="1"/>
  <c r="F45" i="7" l="1"/>
  <c r="G45" i="7" s="1"/>
  <c r="H45" i="7" s="1"/>
  <c r="E46" i="7" l="1"/>
  <c r="F46" i="7" l="1"/>
  <c r="G46" i="7" s="1"/>
  <c r="H46" i="7" s="1"/>
  <c r="E47" i="7" l="1"/>
  <c r="F47" i="7" l="1"/>
  <c r="G47" i="7" s="1"/>
  <c r="H47" i="7" s="1"/>
  <c r="E48" i="7" l="1"/>
  <c r="F48" i="7" l="1"/>
  <c r="G48" i="7" s="1"/>
  <c r="H48" i="7" s="1"/>
  <c r="E49" i="7" l="1"/>
  <c r="F49" i="7" l="1"/>
  <c r="G49" i="7" s="1"/>
  <c r="H49" i="7" s="1"/>
  <c r="E50" i="7" l="1"/>
  <c r="F50" i="7" l="1"/>
  <c r="G50" i="7" s="1"/>
  <c r="H50" i="7" s="1"/>
  <c r="E51" i="7" l="1"/>
  <c r="F51" i="7" l="1"/>
  <c r="G51" i="7" s="1"/>
  <c r="H51" i="7" s="1"/>
  <c r="E52" i="7" l="1"/>
  <c r="F52" i="7" l="1"/>
  <c r="G52" i="7" s="1"/>
  <c r="H52" i="7" s="1"/>
  <c r="E53" i="7" l="1"/>
  <c r="F53" i="7" l="1"/>
  <c r="G53" i="7" s="1"/>
  <c r="H53" i="7" s="1"/>
  <c r="E54" i="7" l="1"/>
  <c r="F54" i="7" l="1"/>
  <c r="G54" i="7" s="1"/>
  <c r="H54" i="7" s="1"/>
  <c r="E55" i="7" l="1"/>
  <c r="F55" i="7" l="1"/>
  <c r="G55" i="7" s="1"/>
  <c r="H55" i="7" s="1"/>
  <c r="E56" i="7" l="1"/>
  <c r="F56" i="7" l="1"/>
  <c r="G56" i="7" s="1"/>
  <c r="H56" i="7" s="1"/>
  <c r="E57" i="7" l="1"/>
  <c r="F57" i="7" l="1"/>
  <c r="G57" i="7" s="1"/>
  <c r="H57" i="7" s="1"/>
  <c r="E58" i="7" l="1"/>
  <c r="F58" i="7" l="1"/>
  <c r="G58" i="7" s="1"/>
  <c r="H58" i="7" s="1"/>
  <c r="E59" i="7" l="1"/>
  <c r="F59" i="7" l="1"/>
  <c r="G59" i="7" s="1"/>
  <c r="H59" i="7" s="1"/>
  <c r="E60" i="7" l="1"/>
  <c r="F60" i="7" l="1"/>
  <c r="G60" i="7" s="1"/>
  <c r="H60" i="7" s="1"/>
  <c r="E61" i="7" l="1"/>
  <c r="F61" i="7" l="1"/>
  <c r="G61" i="7" s="1"/>
  <c r="H61" i="7" s="1"/>
  <c r="E62" i="7" l="1"/>
  <c r="F62" i="7" l="1"/>
  <c r="G62" i="7" s="1"/>
  <c r="H62" i="7" s="1"/>
  <c r="E63" i="7" l="1"/>
  <c r="F63" i="7" l="1"/>
  <c r="G63" i="7" s="1"/>
  <c r="H63" i="7" s="1"/>
  <c r="E64" i="7" l="1"/>
  <c r="F64" i="7" l="1"/>
  <c r="G64" i="7" s="1"/>
  <c r="H64" i="7" s="1"/>
  <c r="E65" i="7" l="1"/>
  <c r="F65" i="7" l="1"/>
  <c r="G65" i="7" s="1"/>
  <c r="H65" i="7" s="1"/>
  <c r="E66" i="7" l="1"/>
  <c r="F66" i="7" l="1"/>
  <c r="G66" i="7" s="1"/>
  <c r="H66" i="7" s="1"/>
  <c r="E67" i="7" l="1"/>
  <c r="F67" i="7" l="1"/>
  <c r="G67" i="7" s="1"/>
  <c r="H67" i="7" s="1"/>
  <c r="E68" i="7" l="1"/>
  <c r="F68" i="7" l="1"/>
  <c r="G68" i="7" s="1"/>
  <c r="H68" i="7" s="1"/>
  <c r="E69" i="7" l="1"/>
  <c r="F69" i="7" l="1"/>
  <c r="G69" i="7" s="1"/>
  <c r="H69" i="7" s="1"/>
  <c r="E70" i="7" l="1"/>
  <c r="F70" i="7" l="1"/>
  <c r="G70" i="7" s="1"/>
  <c r="H70" i="7" s="1"/>
  <c r="E71" i="7" l="1"/>
  <c r="F71" i="7" l="1"/>
  <c r="G71" i="7" s="1"/>
  <c r="H71" i="7" s="1"/>
  <c r="E72" i="7" l="1"/>
  <c r="F72" i="7" l="1"/>
  <c r="G72" i="7" s="1"/>
  <c r="H72" i="7" s="1"/>
  <c r="E73" i="7" l="1"/>
  <c r="F73" i="7" l="1"/>
  <c r="G73" i="7" s="1"/>
  <c r="H73" i="7" s="1"/>
  <c r="E74" i="7" l="1"/>
  <c r="F74" i="7" l="1"/>
  <c r="G74" i="7" s="1"/>
  <c r="H74" i="7" s="1"/>
  <c r="E75" i="7" l="1"/>
  <c r="F75" i="7" l="1"/>
  <c r="G75" i="7" s="1"/>
  <c r="H75" i="7" s="1"/>
  <c r="E76" i="7" l="1"/>
  <c r="F76" i="7" l="1"/>
  <c r="G76" i="7" s="1"/>
  <c r="H76" i="7" s="1"/>
  <c r="E77" i="7" l="1"/>
  <c r="F77" i="7" l="1"/>
  <c r="G77" i="7" s="1"/>
  <c r="H77" i="7" s="1"/>
  <c r="E78" i="7" l="1"/>
  <c r="F78" i="7" l="1"/>
  <c r="G78" i="7" s="1"/>
  <c r="H78" i="7" s="1"/>
  <c r="E79" i="7" l="1"/>
  <c r="F79" i="7" l="1"/>
  <c r="G79" i="7" s="1"/>
  <c r="H79" i="7" s="1"/>
  <c r="E80" i="7" l="1"/>
  <c r="F80" i="7" l="1"/>
  <c r="G80" i="7" s="1"/>
  <c r="H80" i="7" s="1"/>
  <c r="E81" i="7" l="1"/>
  <c r="F81" i="7" l="1"/>
  <c r="G81" i="7" s="1"/>
  <c r="H81" i="7" s="1"/>
  <c r="E82" i="7" l="1"/>
  <c r="F82" i="7" l="1"/>
  <c r="G82" i="7" s="1"/>
  <c r="H82" i="7" s="1"/>
  <c r="E83" i="7" l="1"/>
  <c r="F83" i="7" l="1"/>
  <c r="G83" i="7" s="1"/>
  <c r="H83" i="7" s="1"/>
  <c r="E84" i="7" l="1"/>
  <c r="F84" i="7" l="1"/>
  <c r="G84" i="7" s="1"/>
  <c r="H84" i="7" s="1"/>
  <c r="E85" i="7" l="1"/>
  <c r="F85" i="7" l="1"/>
  <c r="G85" i="7" s="1"/>
  <c r="H85" i="7" s="1"/>
  <c r="E86" i="7" l="1"/>
  <c r="F86" i="7" l="1"/>
  <c r="G86" i="7" s="1"/>
  <c r="H86" i="7" s="1"/>
  <c r="E87" i="7" l="1"/>
  <c r="F87" i="7" l="1"/>
  <c r="G87" i="7" s="1"/>
  <c r="H87" i="7" s="1"/>
  <c r="E88" i="7" l="1"/>
  <c r="F88" i="7" l="1"/>
  <c r="G88" i="7" s="1"/>
  <c r="H88" i="7" s="1"/>
  <c r="E89" i="7" l="1"/>
  <c r="F89" i="7" l="1"/>
  <c r="G89" i="7" s="1"/>
  <c r="H89" i="7" s="1"/>
  <c r="E90" i="7" l="1"/>
  <c r="F90" i="7" l="1"/>
  <c r="G90" i="7" s="1"/>
  <c r="H90" i="7" s="1"/>
  <c r="E91" i="7" l="1"/>
  <c r="F91" i="7" l="1"/>
  <c r="G91" i="7" s="1"/>
  <c r="H91" i="7" s="1"/>
  <c r="E92" i="7" l="1"/>
  <c r="F92" i="7" l="1"/>
  <c r="G92" i="7" s="1"/>
  <c r="H92" i="7" s="1"/>
  <c r="E93" i="7" l="1"/>
  <c r="F93" i="7" l="1"/>
  <c r="G93" i="7" s="1"/>
  <c r="H93" i="7" s="1"/>
  <c r="E94" i="7" l="1"/>
  <c r="F94" i="7" l="1"/>
  <c r="G94" i="7" s="1"/>
  <c r="H94" i="7" s="1"/>
  <c r="E95" i="7" l="1"/>
  <c r="F95" i="7" l="1"/>
  <c r="G95" i="7" s="1"/>
  <c r="H95" i="7" s="1"/>
  <c r="E96" i="7" l="1"/>
  <c r="F96" i="7" l="1"/>
  <c r="G96" i="7" s="1"/>
  <c r="H96" i="7" s="1"/>
  <c r="E97" i="7" l="1"/>
  <c r="F97" i="7" l="1"/>
  <c r="G97" i="7" s="1"/>
  <c r="H97" i="7" s="1"/>
  <c r="E98" i="7" l="1"/>
  <c r="F98" i="7" l="1"/>
  <c r="G98" i="7" s="1"/>
  <c r="H98" i="7" s="1"/>
  <c r="E99" i="7" l="1"/>
  <c r="F99" i="7" l="1"/>
  <c r="G99" i="7" s="1"/>
  <c r="H99" i="7" s="1"/>
  <c r="E100" i="7" l="1"/>
  <c r="F100" i="7" l="1"/>
  <c r="G100" i="7" s="1"/>
  <c r="H100" i="7" s="1"/>
  <c r="E101" i="7" l="1"/>
  <c r="F101" i="7" l="1"/>
  <c r="G101" i="7" s="1"/>
  <c r="H101" i="7" s="1"/>
  <c r="E102" i="7" l="1"/>
  <c r="F102" i="7" l="1"/>
  <c r="G102" i="7" s="1"/>
  <c r="H102" i="7" s="1"/>
  <c r="E103" i="7" l="1"/>
  <c r="F103" i="7" l="1"/>
  <c r="G103" i="7" s="1"/>
  <c r="H103" i="7" s="1"/>
  <c r="E104" i="7" l="1"/>
  <c r="F104" i="7" l="1"/>
  <c r="G104" i="7" s="1"/>
  <c r="H104" i="7" s="1"/>
  <c r="E105" i="7" l="1"/>
  <c r="F105" i="7" l="1"/>
  <c r="G105" i="7" s="1"/>
  <c r="H105" i="7" s="1"/>
  <c r="E106" i="7" l="1"/>
  <c r="F106" i="7" l="1"/>
  <c r="G106" i="7" s="1"/>
  <c r="H106" i="7" s="1"/>
  <c r="E107" i="7" l="1"/>
  <c r="F107" i="7" l="1"/>
  <c r="G107" i="7" s="1"/>
  <c r="H107" i="7" s="1"/>
  <c r="E108" i="7" l="1"/>
  <c r="F108" i="7" l="1"/>
  <c r="G108" i="7" s="1"/>
  <c r="H108" i="7" s="1"/>
  <c r="E109" i="7" l="1"/>
  <c r="F109" i="7" l="1"/>
  <c r="G109" i="7" s="1"/>
  <c r="H109" i="7" s="1"/>
  <c r="E110" i="7" l="1"/>
  <c r="F110" i="7" l="1"/>
  <c r="G110" i="7" s="1"/>
  <c r="H110" i="7" s="1"/>
  <c r="E111" i="7" l="1"/>
  <c r="F111" i="7" l="1"/>
  <c r="G111" i="7" s="1"/>
  <c r="H111" i="7" s="1"/>
  <c r="E112" i="7" l="1"/>
  <c r="F112" i="7" l="1"/>
  <c r="G112" i="7" s="1"/>
  <c r="H112" i="7" s="1"/>
  <c r="E113" i="7" l="1"/>
  <c r="F113" i="7" l="1"/>
  <c r="G113" i="7" s="1"/>
  <c r="H113" i="7" s="1"/>
  <c r="E114" i="7" l="1"/>
  <c r="F114" i="7" l="1"/>
  <c r="G114" i="7" s="1"/>
  <c r="H114" i="7" s="1"/>
  <c r="E115" i="7" l="1"/>
  <c r="F115" i="7" l="1"/>
  <c r="G115" i="7" s="1"/>
  <c r="H115" i="7" s="1"/>
  <c r="E116" i="7" l="1"/>
  <c r="F116" i="7" l="1"/>
  <c r="G116" i="7" s="1"/>
  <c r="H116" i="7" s="1"/>
  <c r="E117" i="7" l="1"/>
  <c r="F117" i="7" l="1"/>
  <c r="G117" i="7" s="1"/>
  <c r="H117" i="7" s="1"/>
  <c r="E118" i="7" l="1"/>
  <c r="F118" i="7" l="1"/>
  <c r="G118" i="7" s="1"/>
  <c r="H118" i="7" s="1"/>
  <c r="E119" i="7" l="1"/>
  <c r="F119" i="7" l="1"/>
  <c r="G119" i="7" s="1"/>
  <c r="H119" i="7" s="1"/>
  <c r="E120" i="7" l="1"/>
  <c r="F120" i="7" l="1"/>
  <c r="G120" i="7" s="1"/>
  <c r="H120" i="7" s="1"/>
  <c r="E121" i="7" l="1"/>
  <c r="F121" i="7" l="1"/>
  <c r="G121" i="7" s="1"/>
  <c r="H121" i="7" s="1"/>
  <c r="E122" i="7" l="1"/>
  <c r="F122" i="7" l="1"/>
  <c r="G122" i="7" s="1"/>
  <c r="H122" i="7" s="1"/>
  <c r="E123" i="7" l="1"/>
  <c r="F123" i="7" l="1"/>
  <c r="G123" i="7" s="1"/>
  <c r="H123" i="7" s="1"/>
  <c r="E124" i="7" l="1"/>
  <c r="F124" i="7" l="1"/>
  <c r="G124" i="7" s="1"/>
  <c r="H124" i="7" s="1"/>
  <c r="E125" i="7" l="1"/>
  <c r="F125" i="7" l="1"/>
  <c r="G125" i="7" s="1"/>
  <c r="H125" i="7" s="1"/>
  <c r="E126" i="7" l="1"/>
  <c r="F126" i="7" l="1"/>
  <c r="G126" i="7" s="1"/>
  <c r="H126" i="7" s="1"/>
  <c r="E127" i="7" l="1"/>
  <c r="F127" i="7" l="1"/>
  <c r="G127" i="7" s="1"/>
  <c r="H127" i="7" s="1"/>
  <c r="E128" i="7" l="1"/>
  <c r="F128" i="7" l="1"/>
  <c r="G128" i="7" s="1"/>
  <c r="H128" i="7" s="1"/>
  <c r="E129" i="7" l="1"/>
  <c r="F129" i="7" l="1"/>
  <c r="G129" i="7" s="1"/>
  <c r="H129" i="7" s="1"/>
  <c r="E130" i="7" l="1"/>
  <c r="F130" i="7" l="1"/>
  <c r="G130" i="7" s="1"/>
  <c r="H130" i="7" s="1"/>
  <c r="E131" i="7" l="1"/>
  <c r="F131" i="7" l="1"/>
  <c r="G131" i="7" s="1"/>
  <c r="H131" i="7" s="1"/>
  <c r="E132" i="7" l="1"/>
  <c r="F132" i="7" l="1"/>
  <c r="G132" i="7" s="1"/>
  <c r="H132" i="7" s="1"/>
  <c r="E133" i="7" l="1"/>
  <c r="F133" i="7" l="1"/>
  <c r="G133" i="7" s="1"/>
  <c r="H133" i="7" s="1"/>
  <c r="E134" i="7" l="1"/>
  <c r="F134" i="7" l="1"/>
  <c r="G134" i="7" s="1"/>
  <c r="H134" i="7" s="1"/>
  <c r="E135" i="7" l="1"/>
  <c r="F135" i="7" l="1"/>
  <c r="G135" i="7" s="1"/>
  <c r="H135" i="7" s="1"/>
  <c r="E136" i="7" l="1"/>
  <c r="F136" i="7" l="1"/>
  <c r="G136" i="7" s="1"/>
  <c r="H136" i="7" s="1"/>
  <c r="E137" i="7" l="1"/>
  <c r="F137" i="7" l="1"/>
  <c r="G137" i="7" s="1"/>
  <c r="H137" i="7" s="1"/>
  <c r="E138" i="7" l="1"/>
  <c r="F138" i="7" l="1"/>
  <c r="G138" i="7" s="1"/>
  <c r="H138" i="7" s="1"/>
  <c r="E139" i="7" l="1"/>
  <c r="F139" i="7" l="1"/>
  <c r="G139" i="7" s="1"/>
  <c r="H139" i="7" s="1"/>
  <c r="E140" i="7" l="1"/>
  <c r="F140" i="7" l="1"/>
  <c r="G140" i="7" s="1"/>
  <c r="H140" i="7" s="1"/>
  <c r="E141" i="7" l="1"/>
  <c r="F141" i="7" l="1"/>
  <c r="G141" i="7" s="1"/>
  <c r="H141" i="7" s="1"/>
  <c r="E142" i="7" l="1"/>
  <c r="F142" i="7" l="1"/>
  <c r="G142" i="7" s="1"/>
  <c r="H142" i="7" s="1"/>
  <c r="E143" i="7" l="1"/>
  <c r="F143" i="7" l="1"/>
  <c r="G143" i="7" s="1"/>
  <c r="H143" i="7" s="1"/>
  <c r="E144" i="7" l="1"/>
  <c r="F144" i="7" l="1"/>
  <c r="G144" i="7" s="1"/>
  <c r="H144" i="7" s="1"/>
  <c r="E145" i="7" l="1"/>
  <c r="F145" i="7" l="1"/>
  <c r="G145" i="7" s="1"/>
  <c r="H145" i="7" s="1"/>
  <c r="E146" i="7" l="1"/>
  <c r="F146" i="7" l="1"/>
  <c r="G146" i="7" s="1"/>
  <c r="H146" i="7" s="1"/>
  <c r="E147" i="7" l="1"/>
  <c r="F147" i="7" l="1"/>
  <c r="G147" i="7" s="1"/>
  <c r="H147" i="7" s="1"/>
  <c r="E148" i="7" l="1"/>
  <c r="F148" i="7" l="1"/>
  <c r="G148" i="7" s="1"/>
  <c r="H148" i="7" s="1"/>
  <c r="E149" i="7" l="1"/>
  <c r="F149" i="7" l="1"/>
  <c r="G149" i="7" s="1"/>
  <c r="H149" i="7" s="1"/>
  <c r="E150" i="7" l="1"/>
  <c r="F150" i="7" l="1"/>
  <c r="G150" i="7" s="1"/>
  <c r="H150" i="7" s="1"/>
  <c r="E151" i="7" l="1"/>
  <c r="F151" i="7" l="1"/>
  <c r="G151" i="7" s="1"/>
  <c r="H151" i="7" s="1"/>
  <c r="E152" i="7" l="1"/>
  <c r="F152" i="7" l="1"/>
  <c r="G152" i="7" s="1"/>
  <c r="H152" i="7" s="1"/>
  <c r="E153" i="7" l="1"/>
  <c r="F153" i="7" l="1"/>
  <c r="G153" i="7" s="1"/>
  <c r="H153" i="7" s="1"/>
  <c r="E154" i="7" l="1"/>
  <c r="F154" i="7" l="1"/>
  <c r="G154" i="7" s="1"/>
  <c r="H154" i="7" s="1"/>
  <c r="E155" i="7" l="1"/>
  <c r="F155" i="7" l="1"/>
  <c r="G155" i="7" s="1"/>
  <c r="H155" i="7" s="1"/>
  <c r="E156" i="7" l="1"/>
  <c r="F156" i="7" l="1"/>
  <c r="G156" i="7" s="1"/>
  <c r="H156" i="7" s="1"/>
  <c r="E157" i="7" l="1"/>
  <c r="F157" i="7" l="1"/>
  <c r="G157" i="7" s="1"/>
  <c r="H157" i="7" s="1"/>
  <c r="E158" i="7" l="1"/>
  <c r="F158" i="7" l="1"/>
  <c r="G158" i="7" s="1"/>
  <c r="H158" i="7" s="1"/>
  <c r="E159" i="7" l="1"/>
  <c r="F159" i="7" l="1"/>
  <c r="G159" i="7" s="1"/>
  <c r="H159" i="7" s="1"/>
  <c r="E160" i="7" l="1"/>
  <c r="F160" i="7" l="1"/>
  <c r="G160" i="7" s="1"/>
  <c r="H160" i="7" s="1"/>
  <c r="E161" i="7" l="1"/>
  <c r="F161" i="7" l="1"/>
  <c r="G161" i="7" s="1"/>
  <c r="H161" i="7" s="1"/>
  <c r="E162" i="7" l="1"/>
  <c r="F162" i="7" l="1"/>
  <c r="G162" i="7" s="1"/>
  <c r="H162" i="7" s="1"/>
  <c r="E163" i="7" l="1"/>
  <c r="F163" i="7" l="1"/>
  <c r="G163" i="7" s="1"/>
  <c r="H163" i="7" s="1"/>
  <c r="E164" i="7" l="1"/>
  <c r="F164" i="7" l="1"/>
  <c r="G164" i="7" s="1"/>
  <c r="H164" i="7" s="1"/>
  <c r="E165" i="7" l="1"/>
  <c r="F165" i="7" l="1"/>
  <c r="G165" i="7" s="1"/>
  <c r="H165" i="7" s="1"/>
  <c r="E166" i="7" l="1"/>
  <c r="F166" i="7" l="1"/>
  <c r="G166" i="7" s="1"/>
  <c r="H166" i="7" s="1"/>
  <c r="E167" i="7" l="1"/>
  <c r="F167" i="7" l="1"/>
  <c r="G167" i="7" s="1"/>
  <c r="H167" i="7" s="1"/>
  <c r="E168" i="7" l="1"/>
  <c r="F168" i="7" l="1"/>
  <c r="G168" i="7" s="1"/>
  <c r="H168" i="7" s="1"/>
  <c r="E169" i="7" l="1"/>
  <c r="F169" i="7" l="1"/>
  <c r="G169" i="7" s="1"/>
  <c r="H169" i="7" s="1"/>
  <c r="E170" i="7" l="1"/>
  <c r="F170" i="7" l="1"/>
  <c r="G170" i="7" s="1"/>
  <c r="H170" i="7" s="1"/>
  <c r="E171" i="7" l="1"/>
  <c r="F171" i="7" l="1"/>
  <c r="G171" i="7" s="1"/>
  <c r="H171" i="7" s="1"/>
  <c r="E172" i="7" l="1"/>
  <c r="F172" i="7" l="1"/>
  <c r="G172" i="7" s="1"/>
  <c r="H172" i="7" s="1"/>
  <c r="E173" i="7" l="1"/>
  <c r="F173" i="7" l="1"/>
  <c r="G173" i="7" s="1"/>
  <c r="H173" i="7" s="1"/>
  <c r="E174" i="7" l="1"/>
  <c r="F174" i="7" l="1"/>
  <c r="G174" i="7" s="1"/>
  <c r="H174" i="7" s="1"/>
  <c r="E175" i="7" l="1"/>
  <c r="F175" i="7" l="1"/>
  <c r="G175" i="7" s="1"/>
  <c r="H175" i="7" s="1"/>
  <c r="E176" i="7" l="1"/>
  <c r="F176" i="7" l="1"/>
  <c r="G176" i="7" s="1"/>
  <c r="H176" i="7" s="1"/>
  <c r="E177" i="7" l="1"/>
  <c r="F177" i="7" l="1"/>
  <c r="G177" i="7" s="1"/>
  <c r="H177" i="7" s="1"/>
  <c r="E178" i="7" l="1"/>
  <c r="F178" i="7" l="1"/>
  <c r="G178" i="7" s="1"/>
  <c r="H178" i="7" s="1"/>
  <c r="E179" i="7" l="1"/>
  <c r="F179" i="7" l="1"/>
  <c r="G179" i="7" s="1"/>
  <c r="H179" i="7" s="1"/>
  <c r="E180" i="7" l="1"/>
  <c r="F180" i="7" l="1"/>
  <c r="G180" i="7" s="1"/>
  <c r="H180" i="7" s="1"/>
  <c r="E181" i="7" l="1"/>
  <c r="F181" i="7" l="1"/>
  <c r="G181" i="7" s="1"/>
  <c r="H181" i="7" s="1"/>
  <c r="E182" i="7" l="1"/>
  <c r="F182" i="7" l="1"/>
  <c r="G182" i="7" s="1"/>
  <c r="H182" i="7" s="1"/>
  <c r="E183" i="7" l="1"/>
  <c r="F183" i="7" l="1"/>
  <c r="G183" i="7" s="1"/>
  <c r="H183" i="7" s="1"/>
  <c r="E184" i="7" l="1"/>
  <c r="F184" i="7" l="1"/>
  <c r="G184" i="7" s="1"/>
  <c r="H184" i="7" s="1"/>
  <c r="E185" i="7" l="1"/>
  <c r="F185" i="7" l="1"/>
  <c r="G185" i="7" s="1"/>
  <c r="H185" i="7" s="1"/>
  <c r="E186" i="7" l="1"/>
  <c r="F186" i="7" l="1"/>
  <c r="G186" i="7" s="1"/>
  <c r="H186" i="7" s="1"/>
  <c r="E187" i="7" l="1"/>
  <c r="F187" i="7" l="1"/>
  <c r="G187" i="7" s="1"/>
  <c r="H187" i="7" s="1"/>
  <c r="E188" i="7" l="1"/>
  <c r="F188" i="7" l="1"/>
  <c r="G188" i="7" s="1"/>
  <c r="H188" i="7" s="1"/>
  <c r="E189" i="7" l="1"/>
  <c r="F189" i="7" l="1"/>
  <c r="G189" i="7" s="1"/>
  <c r="H189" i="7" s="1"/>
  <c r="E190" i="7" l="1"/>
  <c r="F190" i="7" l="1"/>
  <c r="G190" i="7" s="1"/>
  <c r="H190" i="7" s="1"/>
  <c r="E191" i="7" l="1"/>
  <c r="F191" i="7" l="1"/>
  <c r="G191" i="7" s="1"/>
  <c r="H191" i="7" s="1"/>
  <c r="E192" i="7" l="1"/>
  <c r="F192" i="7" l="1"/>
  <c r="G192" i="7" s="1"/>
  <c r="H192" i="7" s="1"/>
  <c r="E193" i="7" l="1"/>
  <c r="F193" i="7" l="1"/>
  <c r="G193" i="7" s="1"/>
  <c r="H193" i="7" s="1"/>
  <c r="E194" i="7" l="1"/>
  <c r="F194" i="7" l="1"/>
  <c r="G194" i="7" s="1"/>
  <c r="H194" i="7" s="1"/>
  <c r="E195" i="7" l="1"/>
  <c r="F195" i="7" l="1"/>
  <c r="G195" i="7" s="1"/>
  <c r="H195" i="7" s="1"/>
  <c r="E196" i="7" l="1"/>
  <c r="F196" i="7" l="1"/>
  <c r="G196" i="7" s="1"/>
  <c r="H196" i="7" s="1"/>
  <c r="E197" i="7" l="1"/>
  <c r="F197" i="7" l="1"/>
  <c r="G197" i="7" s="1"/>
  <c r="H197" i="7" s="1"/>
  <c r="E198" i="7" l="1"/>
  <c r="F198" i="7" l="1"/>
  <c r="G198" i="7" s="1"/>
  <c r="H198" i="7" s="1"/>
  <c r="E199" i="7" l="1"/>
  <c r="F199" i="7" l="1"/>
  <c r="G199" i="7" s="1"/>
  <c r="H199" i="7" s="1"/>
  <c r="E200" i="7" l="1"/>
  <c r="F200" i="7" l="1"/>
  <c r="G200" i="7" s="1"/>
  <c r="H200" i="7" s="1"/>
  <c r="E201" i="7" l="1"/>
  <c r="F201" i="7" l="1"/>
  <c r="G201" i="7" s="1"/>
  <c r="H201" i="7" s="1"/>
  <c r="E202" i="7" l="1"/>
  <c r="F202" i="7" l="1"/>
  <c r="G202" i="7" s="1"/>
  <c r="H202" i="7" s="1"/>
  <c r="E203" i="7" l="1"/>
  <c r="F203" i="7" l="1"/>
  <c r="G203" i="7" s="1"/>
  <c r="H203" i="7" s="1"/>
  <c r="E204" i="7" l="1"/>
  <c r="F204" i="7" l="1"/>
  <c r="G204" i="7" s="1"/>
  <c r="H204" i="7" s="1"/>
  <c r="E205" i="7" l="1"/>
  <c r="F205" i="7" l="1"/>
  <c r="G205" i="7" s="1"/>
  <c r="H205" i="7" s="1"/>
  <c r="E206" i="7" l="1"/>
  <c r="F206" i="7" l="1"/>
  <c r="G206" i="7" s="1"/>
  <c r="H206" i="7" s="1"/>
  <c r="E207" i="7" l="1"/>
  <c r="F207" i="7" l="1"/>
  <c r="G207" i="7" s="1"/>
  <c r="H207" i="7" s="1"/>
  <c r="E208" i="7" l="1"/>
  <c r="F208" i="7" l="1"/>
  <c r="G208" i="7" s="1"/>
  <c r="H208" i="7" s="1"/>
  <c r="E209" i="7" l="1"/>
  <c r="F209" i="7" l="1"/>
  <c r="G209" i="7" s="1"/>
  <c r="H209" i="7" s="1"/>
  <c r="E210" i="7" l="1"/>
  <c r="F210" i="7" l="1"/>
  <c r="G210" i="7" s="1"/>
  <c r="H210" i="7" s="1"/>
  <c r="E211" i="7" l="1"/>
  <c r="F211" i="7" l="1"/>
  <c r="G211" i="7" s="1"/>
  <c r="H211" i="7" s="1"/>
  <c r="E212" i="7" l="1"/>
  <c r="F212" i="7" l="1"/>
  <c r="G212" i="7" s="1"/>
  <c r="H212" i="7" s="1"/>
  <c r="E213" i="7" l="1"/>
  <c r="F213" i="7" l="1"/>
  <c r="G213" i="7" s="1"/>
  <c r="H213" i="7" s="1"/>
  <c r="E214" i="7" l="1"/>
  <c r="F214" i="7" l="1"/>
  <c r="G214" i="7" s="1"/>
  <c r="H214" i="7" s="1"/>
  <c r="E215" i="7" l="1"/>
  <c r="F215" i="7" l="1"/>
  <c r="G215" i="7" s="1"/>
  <c r="H215" i="7" s="1"/>
  <c r="E216" i="7" l="1"/>
  <c r="F216" i="7" l="1"/>
  <c r="G216" i="7" s="1"/>
  <c r="H216" i="7" s="1"/>
  <c r="E217" i="7" l="1"/>
  <c r="F217" i="7" l="1"/>
  <c r="G217" i="7" s="1"/>
  <c r="H217" i="7" s="1"/>
  <c r="E218" i="7" l="1"/>
  <c r="F218" i="7" l="1"/>
  <c r="G218" i="7" s="1"/>
  <c r="H218" i="7" s="1"/>
  <c r="E219" i="7" l="1"/>
  <c r="F219" i="7" l="1"/>
  <c r="G219" i="7" s="1"/>
  <c r="H219" i="7" s="1"/>
  <c r="E220" i="7" l="1"/>
  <c r="F220" i="7" l="1"/>
  <c r="G220" i="7" s="1"/>
  <c r="H220" i="7" s="1"/>
  <c r="E221" i="7" l="1"/>
  <c r="F221" i="7" l="1"/>
  <c r="G221" i="7" s="1"/>
  <c r="H221" i="7" s="1"/>
  <c r="E222" i="7" l="1"/>
  <c r="F222" i="7" l="1"/>
  <c r="G222" i="7" s="1"/>
  <c r="H222" i="7" s="1"/>
  <c r="E223" i="7" l="1"/>
  <c r="F223" i="7" l="1"/>
  <c r="G223" i="7" s="1"/>
  <c r="H223" i="7" s="1"/>
  <c r="E224" i="7" l="1"/>
  <c r="F224" i="7" l="1"/>
  <c r="G224" i="7" s="1"/>
  <c r="H224" i="7" s="1"/>
  <c r="E225" i="7" l="1"/>
  <c r="F225" i="7" l="1"/>
  <c r="G225" i="7" s="1"/>
  <c r="H225" i="7" s="1"/>
  <c r="E226" i="7" l="1"/>
  <c r="F226" i="7" l="1"/>
  <c r="G226" i="7" s="1"/>
  <c r="H226" i="7" s="1"/>
  <c r="E227" i="7" l="1"/>
  <c r="F227" i="7" l="1"/>
  <c r="G227" i="7" s="1"/>
  <c r="H227" i="7" s="1"/>
  <c r="E228" i="7" l="1"/>
  <c r="F228" i="7" l="1"/>
  <c r="G228" i="7" s="1"/>
  <c r="H228" i="7" s="1"/>
  <c r="E229" i="7" l="1"/>
  <c r="F229" i="7" l="1"/>
  <c r="G229" i="7" s="1"/>
  <c r="H229" i="7" s="1"/>
  <c r="E230" i="7" l="1"/>
  <c r="F230" i="7" l="1"/>
  <c r="G230" i="7" s="1"/>
  <c r="H230" i="7" s="1"/>
  <c r="E231" i="7" l="1"/>
  <c r="F231" i="7" l="1"/>
  <c r="G231" i="7" s="1"/>
  <c r="H231" i="7" s="1"/>
  <c r="E232" i="7" l="1"/>
  <c r="F232" i="7" l="1"/>
  <c r="G232" i="7" s="1"/>
  <c r="H232" i="7" s="1"/>
  <c r="E233" i="7" l="1"/>
  <c r="F233" i="7" l="1"/>
  <c r="G233" i="7" s="1"/>
  <c r="H233" i="7" s="1"/>
  <c r="E234" i="7" l="1"/>
  <c r="F234" i="7" l="1"/>
  <c r="G234" i="7" s="1"/>
  <c r="H234" i="7" s="1"/>
  <c r="E235" i="7" l="1"/>
  <c r="F235" i="7" l="1"/>
  <c r="G235" i="7" s="1"/>
  <c r="H235" i="7" s="1"/>
  <c r="E236" i="7" l="1"/>
  <c r="F236" i="7" l="1"/>
  <c r="G236" i="7" s="1"/>
  <c r="H236" i="7" s="1"/>
  <c r="E237" i="7" l="1"/>
  <c r="F237" i="7" l="1"/>
  <c r="G237" i="7" s="1"/>
  <c r="H237" i="7" s="1"/>
  <c r="E238" i="7" l="1"/>
  <c r="F238" i="7" l="1"/>
  <c r="G238" i="7" s="1"/>
  <c r="H238" i="7" s="1"/>
  <c r="E239" i="7" l="1"/>
  <c r="F239" i="7" l="1"/>
  <c r="G239" i="7" s="1"/>
  <c r="H239" i="7" s="1"/>
  <c r="E240" i="7" l="1"/>
  <c r="F240" i="7" l="1"/>
  <c r="G240" i="7" s="1"/>
  <c r="H240" i="7" s="1"/>
  <c r="E241" i="7" l="1"/>
  <c r="F241" i="7" l="1"/>
  <c r="G241" i="7" s="1"/>
  <c r="H241" i="7" s="1"/>
  <c r="E242" i="7" l="1"/>
  <c r="F242" i="7" l="1"/>
  <c r="G242" i="7" s="1"/>
  <c r="H242" i="7" s="1"/>
  <c r="E243" i="7" l="1"/>
  <c r="F243" i="7" l="1"/>
  <c r="G243" i="7" s="1"/>
  <c r="H243" i="7" s="1"/>
  <c r="E244" i="7" l="1"/>
  <c r="F244" i="7" l="1"/>
  <c r="G244" i="7" s="1"/>
  <c r="H244" i="7" s="1"/>
  <c r="E245" i="7" l="1"/>
  <c r="F245" i="7" l="1"/>
  <c r="G245" i="7" s="1"/>
  <c r="H245" i="7" s="1"/>
  <c r="E246" i="7" l="1"/>
  <c r="F246" i="7" l="1"/>
  <c r="G246" i="7" s="1"/>
  <c r="H246" i="7" s="1"/>
  <c r="E247" i="7" l="1"/>
  <c r="F247" i="7" l="1"/>
  <c r="G247" i="7" s="1"/>
  <c r="H247" i="7" s="1"/>
  <c r="E248" i="7" l="1"/>
  <c r="F248" i="7" l="1"/>
  <c r="G248" i="7" s="1"/>
  <c r="H248" i="7" s="1"/>
  <c r="E249" i="7" l="1"/>
  <c r="F249" i="7" l="1"/>
  <c r="G249" i="7" s="1"/>
  <c r="H249" i="7" s="1"/>
  <c r="E250" i="7" l="1"/>
  <c r="F250" i="7" l="1"/>
  <c r="G250" i="7" s="1"/>
  <c r="H250" i="7" s="1"/>
  <c r="E251" i="7" l="1"/>
  <c r="F251" i="7" l="1"/>
  <c r="G251" i="7" s="1"/>
  <c r="H251" i="7" s="1"/>
  <c r="E252" i="7" l="1"/>
  <c r="F252" i="7" l="1"/>
  <c r="G252" i="7" s="1"/>
  <c r="H252" i="7" s="1"/>
  <c r="E253" i="7" l="1"/>
  <c r="F253" i="7" l="1"/>
  <c r="G253" i="7" s="1"/>
  <c r="H253" i="7" s="1"/>
  <c r="E254" i="7" l="1"/>
  <c r="F254" i="7" l="1"/>
  <c r="G254" i="7" s="1"/>
  <c r="H254" i="7" s="1"/>
  <c r="E255" i="7" l="1"/>
  <c r="F255" i="7" l="1"/>
  <c r="G255" i="7" s="1"/>
  <c r="H255" i="7" s="1"/>
  <c r="E256" i="7" l="1"/>
  <c r="F256" i="7" l="1"/>
  <c r="G256" i="7" s="1"/>
  <c r="H256" i="7" s="1"/>
  <c r="E257" i="7" l="1"/>
  <c r="F257" i="7" l="1"/>
  <c r="G257" i="7" s="1"/>
  <c r="H257" i="7" s="1"/>
  <c r="E258" i="7" l="1"/>
  <c r="F258" i="7" l="1"/>
  <c r="G258" i="7" s="1"/>
  <c r="H258" i="7" s="1"/>
  <c r="E259" i="7" l="1"/>
  <c r="F259" i="7" l="1"/>
  <c r="G259" i="7" s="1"/>
  <c r="H259" i="7" s="1"/>
  <c r="E260" i="7" l="1"/>
  <c r="F260" i="7" l="1"/>
  <c r="G260" i="7" s="1"/>
  <c r="H260" i="7" s="1"/>
  <c r="E261" i="7" l="1"/>
  <c r="F261" i="7" l="1"/>
  <c r="G261" i="7" s="1"/>
  <c r="H261" i="7" s="1"/>
  <c r="E262" i="7" l="1"/>
  <c r="F262" i="7" l="1"/>
  <c r="G262" i="7" s="1"/>
  <c r="H262" i="7" s="1"/>
  <c r="E263" i="7" l="1"/>
  <c r="F263" i="7" l="1"/>
  <c r="G263" i="7" s="1"/>
  <c r="H263" i="7" s="1"/>
  <c r="E264" i="7" l="1"/>
  <c r="F264" i="7" l="1"/>
  <c r="G264" i="7" s="1"/>
  <c r="H264" i="7" s="1"/>
  <c r="E265" i="7" l="1"/>
  <c r="F265" i="7" l="1"/>
  <c r="G265" i="7" s="1"/>
  <c r="H265" i="7" s="1"/>
  <c r="E266" i="7" l="1"/>
  <c r="F266" i="7" l="1"/>
  <c r="G266" i="7" s="1"/>
  <c r="H266" i="7" s="1"/>
  <c r="E267" i="7" l="1"/>
  <c r="F267" i="7" l="1"/>
  <c r="G267" i="7" s="1"/>
  <c r="H267" i="7" s="1"/>
  <c r="E268" i="7" l="1"/>
  <c r="F268" i="7" l="1"/>
  <c r="G268" i="7" s="1"/>
  <c r="H268" i="7" s="1"/>
  <c r="E269" i="7" l="1"/>
  <c r="F269" i="7" l="1"/>
  <c r="G269" i="7" s="1"/>
  <c r="H269" i="7" s="1"/>
  <c r="E270" i="7" l="1"/>
  <c r="F270" i="7" l="1"/>
  <c r="G270" i="7" s="1"/>
  <c r="H270" i="7" s="1"/>
  <c r="E271" i="7" l="1"/>
  <c r="F271" i="7" l="1"/>
  <c r="G271" i="7" s="1"/>
  <c r="H271" i="7" s="1"/>
  <c r="E272" i="7" l="1"/>
  <c r="F272" i="7" l="1"/>
  <c r="G272" i="7" s="1"/>
  <c r="H272" i="7" s="1"/>
  <c r="E273" i="7" l="1"/>
  <c r="F273" i="7" l="1"/>
  <c r="G273" i="7" s="1"/>
  <c r="H273" i="7" s="1"/>
  <c r="E274" i="7" l="1"/>
  <c r="F274" i="7" l="1"/>
  <c r="G274" i="7" s="1"/>
  <c r="H274" i="7" s="1"/>
  <c r="E275" i="7" l="1"/>
  <c r="F275" i="7" l="1"/>
  <c r="G275" i="7" s="1"/>
  <c r="H275" i="7" s="1"/>
  <c r="E276" i="7" l="1"/>
  <c r="F276" i="7" l="1"/>
  <c r="G276" i="7" s="1"/>
  <c r="H276" i="7" s="1"/>
  <c r="E277" i="7" l="1"/>
  <c r="F277" i="7" l="1"/>
  <c r="G277" i="7" s="1"/>
  <c r="H277" i="7" s="1"/>
  <c r="E278" i="7" l="1"/>
  <c r="F278" i="7" l="1"/>
  <c r="G278" i="7" s="1"/>
  <c r="H278" i="7" s="1"/>
  <c r="E279" i="7" l="1"/>
  <c r="F279" i="7" l="1"/>
  <c r="G279" i="7" s="1"/>
  <c r="H279" i="7" s="1"/>
  <c r="E280" i="7" l="1"/>
  <c r="F280" i="7" l="1"/>
  <c r="G280" i="7" s="1"/>
  <c r="H280" i="7" s="1"/>
  <c r="E281" i="7" l="1"/>
  <c r="F281" i="7" l="1"/>
  <c r="G281" i="7" s="1"/>
  <c r="H281" i="7" s="1"/>
  <c r="E282" i="7" l="1"/>
  <c r="F282" i="7" l="1"/>
  <c r="G282" i="7" s="1"/>
  <c r="H282" i="7" s="1"/>
  <c r="E283" i="7" l="1"/>
  <c r="F283" i="7" l="1"/>
  <c r="G283" i="7" s="1"/>
  <c r="H283" i="7" s="1"/>
  <c r="E284" i="7" l="1"/>
  <c r="F284" i="7" l="1"/>
  <c r="G284" i="7" s="1"/>
  <c r="H284" i="7" s="1"/>
  <c r="E285" i="7" l="1"/>
  <c r="F285" i="7" l="1"/>
  <c r="G285" i="7" s="1"/>
  <c r="H285" i="7" s="1"/>
  <c r="E286" i="7" l="1"/>
  <c r="F286" i="7" l="1"/>
  <c r="G286" i="7" s="1"/>
  <c r="H286" i="7" s="1"/>
  <c r="E287" i="7" l="1"/>
  <c r="F287" i="7" l="1"/>
  <c r="G287" i="7" s="1"/>
  <c r="H287" i="7" s="1"/>
  <c r="E288" i="7" l="1"/>
  <c r="F288" i="7" l="1"/>
  <c r="G288" i="7" s="1"/>
  <c r="H288" i="7" s="1"/>
  <c r="E289" i="7" l="1"/>
  <c r="F289" i="7" l="1"/>
  <c r="G289" i="7" s="1"/>
  <c r="H289" i="7" s="1"/>
  <c r="E290" i="7" l="1"/>
  <c r="F290" i="7" l="1"/>
  <c r="G290" i="7" s="1"/>
  <c r="H290" i="7" s="1"/>
  <c r="E291" i="7" l="1"/>
  <c r="F291" i="7" l="1"/>
  <c r="G291" i="7" s="1"/>
  <c r="H291" i="7" s="1"/>
  <c r="E292" i="7" l="1"/>
  <c r="F292" i="7" l="1"/>
  <c r="G292" i="7" s="1"/>
  <c r="H292" i="7" s="1"/>
  <c r="E293" i="7" l="1"/>
  <c r="F293" i="7" l="1"/>
  <c r="G293" i="7" s="1"/>
  <c r="H293" i="7" s="1"/>
  <c r="E294" i="7" l="1"/>
  <c r="F294" i="7" l="1"/>
  <c r="G294" i="7" s="1"/>
  <c r="H294" i="7" s="1"/>
  <c r="E295" i="7" l="1"/>
  <c r="F295" i="7" l="1"/>
  <c r="G295" i="7" s="1"/>
  <c r="H295" i="7" s="1"/>
  <c r="E296" i="7" l="1"/>
  <c r="F296" i="7" l="1"/>
  <c r="G296" i="7" s="1"/>
  <c r="H296" i="7" s="1"/>
  <c r="E297" i="7" l="1"/>
  <c r="F297" i="7" l="1"/>
  <c r="G297" i="7" s="1"/>
  <c r="H297" i="7" s="1"/>
  <c r="E298" i="7" l="1"/>
  <c r="F298" i="7" l="1"/>
  <c r="G298" i="7" s="1"/>
  <c r="H298" i="7" s="1"/>
  <c r="E299" i="7" l="1"/>
  <c r="F299" i="7" l="1"/>
  <c r="G299" i="7" s="1"/>
  <c r="H299" i="7" s="1"/>
  <c r="E300" i="7" l="1"/>
  <c r="F300" i="7" l="1"/>
  <c r="G300" i="7" s="1"/>
  <c r="H300" i="7" s="1"/>
  <c r="E301" i="7" l="1"/>
  <c r="F301" i="7" l="1"/>
  <c r="G301" i="7" s="1"/>
  <c r="H301" i="7" s="1"/>
  <c r="E302" i="7" l="1"/>
  <c r="F302" i="7" l="1"/>
  <c r="G302" i="7" s="1"/>
  <c r="H302" i="7" s="1"/>
  <c r="E303" i="7" l="1"/>
  <c r="F303" i="7" l="1"/>
  <c r="G303" i="7" s="1"/>
  <c r="H303" i="7" s="1"/>
  <c r="E304" i="7" l="1"/>
  <c r="F304" i="7" l="1"/>
  <c r="G304" i="7" s="1"/>
  <c r="H304" i="7" s="1"/>
  <c r="E305" i="7" l="1"/>
  <c r="F305" i="7" l="1"/>
  <c r="G305" i="7" s="1"/>
  <c r="H305" i="7" s="1"/>
  <c r="E306" i="7" l="1"/>
  <c r="F306" i="7" l="1"/>
  <c r="G306" i="7" s="1"/>
  <c r="H306" i="7" s="1"/>
  <c r="E307" i="7" l="1"/>
  <c r="F307" i="7" l="1"/>
  <c r="G307" i="7" s="1"/>
  <c r="H307" i="7" s="1"/>
  <c r="E308" i="7" l="1"/>
  <c r="F308" i="7" l="1"/>
  <c r="G308" i="7" s="1"/>
  <c r="H308" i="7" s="1"/>
  <c r="E309" i="7" l="1"/>
  <c r="F309" i="7" l="1"/>
  <c r="G309" i="7" s="1"/>
  <c r="H309" i="7" s="1"/>
  <c r="E310" i="7" l="1"/>
  <c r="F310" i="7" l="1"/>
  <c r="G310" i="7" s="1"/>
  <c r="H310" i="7" s="1"/>
  <c r="E311" i="7" l="1"/>
  <c r="F311" i="7" l="1"/>
  <c r="G311" i="7" s="1"/>
  <c r="H311" i="7" s="1"/>
  <c r="E312" i="7" l="1"/>
  <c r="F312" i="7" l="1"/>
  <c r="G312" i="7" s="1"/>
  <c r="H312" i="7" s="1"/>
  <c r="E313" i="7" l="1"/>
  <c r="F313" i="7" l="1"/>
  <c r="G313" i="7" s="1"/>
  <c r="H313" i="7" s="1"/>
  <c r="E314" i="7" l="1"/>
  <c r="F314" i="7" l="1"/>
  <c r="G314" i="7" s="1"/>
  <c r="H314" i="7" s="1"/>
  <c r="E315" i="7" l="1"/>
  <c r="F315" i="7" l="1"/>
  <c r="G315" i="7" s="1"/>
  <c r="H315" i="7" s="1"/>
  <c r="E316" i="7" l="1"/>
  <c r="F316" i="7" l="1"/>
  <c r="G316" i="7" s="1"/>
  <c r="H316" i="7" s="1"/>
  <c r="E317" i="7" l="1"/>
  <c r="F317" i="7" l="1"/>
  <c r="G317" i="7" s="1"/>
  <c r="H317" i="7" s="1"/>
  <c r="E318" i="7" l="1"/>
  <c r="F318" i="7" l="1"/>
  <c r="G318" i="7" s="1"/>
  <c r="H318" i="7" s="1"/>
  <c r="E319" i="7" l="1"/>
  <c r="F319" i="7" l="1"/>
  <c r="G319" i="7" s="1"/>
  <c r="H319" i="7" s="1"/>
  <c r="E320" i="7" l="1"/>
  <c r="F320" i="7" l="1"/>
  <c r="G320" i="7" s="1"/>
  <c r="H320" i="7" s="1"/>
  <c r="E321" i="7" l="1"/>
  <c r="F321" i="7" l="1"/>
  <c r="G321" i="7" s="1"/>
  <c r="H321" i="7" s="1"/>
  <c r="E322" i="7" l="1"/>
  <c r="F322" i="7" l="1"/>
  <c r="G322" i="7" s="1"/>
  <c r="H322" i="7" s="1"/>
  <c r="E323" i="7" l="1"/>
  <c r="F323" i="7" l="1"/>
  <c r="G323" i="7" s="1"/>
  <c r="H323" i="7" s="1"/>
  <c r="E324" i="7" l="1"/>
  <c r="F324" i="7" l="1"/>
  <c r="G324" i="7" s="1"/>
  <c r="H324" i="7" s="1"/>
  <c r="E325" i="7" l="1"/>
  <c r="F325" i="7" l="1"/>
  <c r="G325" i="7" s="1"/>
  <c r="H325" i="7" s="1"/>
  <c r="E326" i="7" l="1"/>
  <c r="F326" i="7" l="1"/>
  <c r="G326" i="7" s="1"/>
  <c r="H326" i="7" s="1"/>
  <c r="E327" i="7" l="1"/>
  <c r="F327" i="7" l="1"/>
  <c r="G327" i="7" s="1"/>
  <c r="H327" i="7" s="1"/>
  <c r="E328" i="7" l="1"/>
  <c r="F328" i="7" l="1"/>
  <c r="G328" i="7" s="1"/>
  <c r="H328" i="7" s="1"/>
  <c r="E329" i="7" l="1"/>
  <c r="F329" i="7" l="1"/>
  <c r="G329" i="7" s="1"/>
  <c r="H329" i="7" s="1"/>
  <c r="E330" i="7" l="1"/>
  <c r="F330" i="7" l="1"/>
  <c r="G330" i="7" s="1"/>
  <c r="H330" i="7" s="1"/>
  <c r="E331" i="7" l="1"/>
  <c r="F331" i="7" l="1"/>
  <c r="G331" i="7" s="1"/>
  <c r="H331" i="7" s="1"/>
  <c r="E332" i="7" l="1"/>
  <c r="F332" i="7" l="1"/>
  <c r="G332" i="7" s="1"/>
  <c r="H332" i="7" s="1"/>
  <c r="E333" i="7" l="1"/>
  <c r="F333" i="7" l="1"/>
  <c r="G333" i="7" s="1"/>
  <c r="H333" i="7" s="1"/>
  <c r="E334" i="7" l="1"/>
  <c r="F334" i="7" l="1"/>
  <c r="G334" i="7" s="1"/>
  <c r="H334" i="7" s="1"/>
  <c r="E335" i="7" l="1"/>
  <c r="F335" i="7" l="1"/>
  <c r="G335" i="7" s="1"/>
  <c r="H335" i="7" s="1"/>
  <c r="E336" i="7" l="1"/>
  <c r="F336" i="7" l="1"/>
  <c r="G336" i="7" s="1"/>
  <c r="H336" i="7" s="1"/>
  <c r="E337" i="7" l="1"/>
  <c r="F337" i="7" l="1"/>
  <c r="G337" i="7" s="1"/>
  <c r="H337" i="7" s="1"/>
  <c r="E338" i="7" l="1"/>
  <c r="F338" i="7" l="1"/>
  <c r="G338" i="7" s="1"/>
  <c r="H338" i="7" s="1"/>
  <c r="E339" i="7" l="1"/>
  <c r="F339" i="7" l="1"/>
  <c r="G339" i="7" s="1"/>
  <c r="H339" i="7" s="1"/>
  <c r="E340" i="7" l="1"/>
  <c r="F340" i="7" l="1"/>
  <c r="G340" i="7" s="1"/>
  <c r="H340" i="7" s="1"/>
  <c r="E341" i="7" l="1"/>
  <c r="F341" i="7" l="1"/>
  <c r="G341" i="7" s="1"/>
  <c r="H341" i="7" s="1"/>
  <c r="E342" i="7" l="1"/>
  <c r="F342" i="7" l="1"/>
  <c r="G342" i="7" s="1"/>
  <c r="H342" i="7" s="1"/>
  <c r="E343" i="7" l="1"/>
  <c r="F343" i="7" l="1"/>
  <c r="G343" i="7" s="1"/>
  <c r="H343" i="7" s="1"/>
  <c r="E344" i="7" l="1"/>
  <c r="F344" i="7" l="1"/>
  <c r="G344" i="7" s="1"/>
  <c r="H344" i="7" s="1"/>
  <c r="E345" i="7" l="1"/>
  <c r="F345" i="7" l="1"/>
  <c r="G345" i="7" s="1"/>
  <c r="H345" i="7" s="1"/>
  <c r="E346" i="7" l="1"/>
  <c r="F346" i="7" l="1"/>
  <c r="G346" i="7" s="1"/>
  <c r="H346" i="7" s="1"/>
  <c r="E347" i="7" l="1"/>
  <c r="F347" i="7" l="1"/>
  <c r="G347" i="7" s="1"/>
  <c r="H347" i="7" s="1"/>
  <c r="E348" i="7" l="1"/>
  <c r="F348" i="7" l="1"/>
  <c r="G348" i="7" s="1"/>
  <c r="H348" i="7" s="1"/>
  <c r="E349" i="7" l="1"/>
  <c r="F349" i="7" l="1"/>
  <c r="G349" i="7" s="1"/>
  <c r="H349" i="7" s="1"/>
  <c r="E350" i="7" l="1"/>
  <c r="F350" i="7" l="1"/>
  <c r="G350" i="7" s="1"/>
  <c r="H350" i="7" s="1"/>
  <c r="E351" i="7" l="1"/>
  <c r="F351" i="7" l="1"/>
  <c r="G351" i="7" s="1"/>
  <c r="H351" i="7" s="1"/>
  <c r="E352" i="7" l="1"/>
  <c r="F352" i="7" l="1"/>
  <c r="G352" i="7" s="1"/>
  <c r="H352" i="7" s="1"/>
  <c r="E353" i="7" l="1"/>
  <c r="F353" i="7" l="1"/>
  <c r="G353" i="7" s="1"/>
  <c r="H353" i="7" s="1"/>
  <c r="E354" i="7" l="1"/>
  <c r="F354" i="7" l="1"/>
  <c r="G354" i="7" s="1"/>
  <c r="H354" i="7" s="1"/>
  <c r="E355" i="7" l="1"/>
  <c r="F355" i="7" l="1"/>
  <c r="G355" i="7" s="1"/>
  <c r="H355" i="7" s="1"/>
  <c r="E356" i="7" l="1"/>
  <c r="F356" i="7" l="1"/>
  <c r="G356" i="7" s="1"/>
  <c r="H356" i="7" s="1"/>
  <c r="E357" i="7" l="1"/>
  <c r="F357" i="7" l="1"/>
  <c r="G357" i="7" s="1"/>
  <c r="H357" i="7" s="1"/>
  <c r="E358" i="7" l="1"/>
  <c r="F358" i="7" l="1"/>
  <c r="G358" i="7" s="1"/>
  <c r="H358" i="7" s="1"/>
  <c r="E359" i="7" l="1"/>
  <c r="F359" i="7" l="1"/>
  <c r="G359" i="7" s="1"/>
  <c r="H359" i="7" s="1"/>
  <c r="E360" i="7" l="1"/>
  <c r="F360" i="7" l="1"/>
  <c r="G360" i="7" s="1"/>
  <c r="H360" i="7" s="1"/>
  <c r="E361" i="7" l="1"/>
  <c r="F361" i="7" l="1"/>
  <c r="G361" i="7" s="1"/>
  <c r="H361" i="7" s="1"/>
  <c r="E362" i="7" l="1"/>
  <c r="F362" i="7" l="1"/>
  <c r="G362" i="7" s="1"/>
  <c r="H362" i="7" s="1"/>
  <c r="E363" i="7" l="1"/>
  <c r="F363" i="7" l="1"/>
  <c r="G363" i="7" s="1"/>
  <c r="H363" i="7" s="1"/>
  <c r="E364" i="7" l="1"/>
  <c r="F364" i="7" l="1"/>
  <c r="G364" i="7" s="1"/>
  <c r="H364" i="7" s="1"/>
  <c r="E365" i="7" l="1"/>
  <c r="F365" i="7" l="1"/>
  <c r="G365" i="7" s="1"/>
  <c r="H365" i="7" s="1"/>
  <c r="E366" i="7" l="1"/>
  <c r="F366" i="7" l="1"/>
  <c r="G366" i="7" s="1"/>
  <c r="H366" i="7" s="1"/>
  <c r="E367" i="7" l="1"/>
  <c r="F367" i="7" l="1"/>
  <c r="G367" i="7" s="1"/>
  <c r="H367" i="7" s="1"/>
  <c r="E368" i="7" l="1"/>
  <c r="F368" i="7" l="1"/>
  <c r="G368" i="7" s="1"/>
  <c r="H368" i="7" s="1"/>
  <c r="E369" i="7" l="1"/>
  <c r="F369" i="7" l="1"/>
  <c r="G369" i="7" s="1"/>
  <c r="H369" i="7" s="1"/>
  <c r="E370" i="7" l="1"/>
  <c r="F370" i="7" l="1"/>
  <c r="G370" i="7" s="1"/>
  <c r="H370" i="7" s="1"/>
  <c r="E371" i="7" l="1"/>
  <c r="F371" i="7" l="1"/>
  <c r="G371" i="7" s="1"/>
  <c r="H371" i="7" s="1"/>
  <c r="E372" i="7" l="1"/>
  <c r="F372" i="7" l="1"/>
  <c r="G372" i="7" s="1"/>
  <c r="H372" i="7" s="1"/>
  <c r="E373" i="7" l="1"/>
  <c r="F373" i="7" l="1"/>
  <c r="G373" i="7" s="1"/>
  <c r="H373" i="7" s="1"/>
  <c r="E374" i="7" l="1"/>
  <c r="F374" i="7" l="1"/>
  <c r="G374" i="7" s="1"/>
  <c r="H374" i="7" s="1"/>
  <c r="E375" i="7" l="1"/>
  <c r="F375" i="7" l="1"/>
  <c r="G375" i="7" s="1"/>
  <c r="H375" i="7" s="1"/>
  <c r="E376" i="7" l="1"/>
  <c r="F376" i="7" l="1"/>
  <c r="G376" i="7" s="1"/>
  <c r="H376" i="7" s="1"/>
  <c r="E377" i="7" l="1"/>
  <c r="F377" i="7" l="1"/>
  <c r="G377" i="7" s="1"/>
  <c r="H377" i="7" s="1"/>
  <c r="E378" i="7" l="1"/>
  <c r="F378" i="7" l="1"/>
  <c r="G378" i="7" s="1"/>
  <c r="H378" i="7" s="1"/>
  <c r="E379" i="7" l="1"/>
  <c r="F379" i="7" l="1"/>
  <c r="G379" i="7" s="1"/>
  <c r="H379" i="7" s="1"/>
  <c r="E380" i="7" l="1"/>
  <c r="F380" i="7" l="1"/>
  <c r="G380" i="7" s="1"/>
  <c r="H380" i="7" s="1"/>
  <c r="E381" i="7" l="1"/>
  <c r="F381" i="7" l="1"/>
  <c r="G381" i="7" s="1"/>
  <c r="H381" i="7" s="1"/>
  <c r="E382" i="7" l="1"/>
  <c r="F382" i="7" l="1"/>
  <c r="G382" i="7" s="1"/>
  <c r="H382" i="7" s="1"/>
  <c r="E383" i="7" l="1"/>
  <c r="F383" i="7" l="1"/>
  <c r="G383" i="7" s="1"/>
  <c r="H383" i="7" s="1"/>
  <c r="E384" i="7" l="1"/>
  <c r="F384" i="7" l="1"/>
  <c r="G384" i="7" s="1"/>
  <c r="H384" i="7" s="1"/>
  <c r="E385" i="7" l="1"/>
  <c r="F385" i="7" l="1"/>
  <c r="G385" i="7" s="1"/>
  <c r="H385" i="7" s="1"/>
  <c r="E386" i="7" l="1"/>
  <c r="F386" i="7" l="1"/>
  <c r="G386" i="7" s="1"/>
  <c r="H386" i="7" s="1"/>
  <c r="E387" i="7" l="1"/>
  <c r="F387" i="7" l="1"/>
  <c r="G387" i="7" s="1"/>
  <c r="H387" i="7" s="1"/>
  <c r="E388" i="7" l="1"/>
  <c r="F388" i="7" l="1"/>
  <c r="G388" i="7" s="1"/>
  <c r="H388" i="7" s="1"/>
  <c r="E389" i="7" l="1"/>
  <c r="F389" i="7" l="1"/>
  <c r="G389" i="7" s="1"/>
  <c r="H389" i="7" s="1"/>
  <c r="E390" i="7" l="1"/>
  <c r="F390" i="7" l="1"/>
  <c r="G390" i="7" s="1"/>
  <c r="H390" i="7" s="1"/>
  <c r="E391" i="7" l="1"/>
  <c r="F391" i="7" l="1"/>
  <c r="G391" i="7" s="1"/>
  <c r="H391" i="7" s="1"/>
  <c r="E392" i="7" l="1"/>
  <c r="F392" i="7" l="1"/>
  <c r="G392" i="7" s="1"/>
  <c r="H392" i="7" s="1"/>
  <c r="E393" i="7" l="1"/>
  <c r="F393" i="7" l="1"/>
  <c r="G393" i="7" s="1"/>
  <c r="H393" i="7" s="1"/>
  <c r="E394" i="7" l="1"/>
  <c r="F394" i="7" l="1"/>
  <c r="G394" i="7" s="1"/>
  <c r="H394" i="7" s="1"/>
  <c r="E395" i="7" l="1"/>
  <c r="F395" i="7" l="1"/>
  <c r="G395" i="7" s="1"/>
  <c r="H395" i="7" s="1"/>
  <c r="E396" i="7" l="1"/>
  <c r="F396" i="7" l="1"/>
  <c r="G396" i="7" s="1"/>
  <c r="H396" i="7" s="1"/>
  <c r="E397" i="7" l="1"/>
  <c r="F397" i="7" l="1"/>
  <c r="G397" i="7" s="1"/>
  <c r="H397" i="7" s="1"/>
  <c r="E398" i="7" l="1"/>
  <c r="F398" i="7" l="1"/>
  <c r="G398" i="7" s="1"/>
  <c r="H398" i="7" s="1"/>
  <c r="E399" i="7" l="1"/>
  <c r="F399" i="7" l="1"/>
  <c r="G399" i="7" s="1"/>
  <c r="H399" i="7" s="1"/>
  <c r="E400" i="7" l="1"/>
  <c r="F400" i="7" l="1"/>
  <c r="G400" i="7" s="1"/>
  <c r="H400" i="7" s="1"/>
  <c r="E401" i="7" l="1"/>
  <c r="F401" i="7" l="1"/>
  <c r="G401" i="7" s="1"/>
  <c r="H401" i="7" s="1"/>
  <c r="E402" i="7" l="1"/>
  <c r="F402" i="7" l="1"/>
  <c r="G402" i="7" s="1"/>
  <c r="H402" i="7" s="1"/>
  <c r="E403" i="7" l="1"/>
  <c r="F403" i="7" l="1"/>
  <c r="G403" i="7" s="1"/>
  <c r="H403" i="7" s="1"/>
  <c r="E404" i="7" l="1"/>
  <c r="F404" i="7" l="1"/>
  <c r="G404" i="7" s="1"/>
  <c r="H404" i="7" s="1"/>
  <c r="E405" i="7" l="1"/>
  <c r="F405" i="7" l="1"/>
  <c r="G405" i="7" s="1"/>
  <c r="H405" i="7" s="1"/>
  <c r="E406" i="7" l="1"/>
  <c r="F406" i="7" l="1"/>
  <c r="G406" i="7" s="1"/>
  <c r="H406" i="7" s="1"/>
  <c r="E407" i="7" l="1"/>
  <c r="F407" i="7" l="1"/>
  <c r="G407" i="7" s="1"/>
  <c r="H407" i="7" s="1"/>
  <c r="E408" i="7" l="1"/>
  <c r="F408" i="7" l="1"/>
  <c r="G408" i="7" s="1"/>
  <c r="H408" i="7" s="1"/>
  <c r="E409" i="7" l="1"/>
  <c r="F409" i="7" l="1"/>
  <c r="G409" i="7" s="1"/>
  <c r="H409" i="7" s="1"/>
  <c r="E410" i="7" l="1"/>
  <c r="F410" i="7" l="1"/>
  <c r="G410" i="7" s="1"/>
  <c r="H410" i="7" s="1"/>
  <c r="E411" i="7" l="1"/>
  <c r="F411" i="7" l="1"/>
  <c r="G411" i="7" s="1"/>
  <c r="H411" i="7" s="1"/>
  <c r="E412" i="7" l="1"/>
  <c r="F412" i="7" l="1"/>
  <c r="G412" i="7" s="1"/>
  <c r="H412" i="7" s="1"/>
  <c r="E413" i="7" l="1"/>
  <c r="F413" i="7" l="1"/>
  <c r="G413" i="7" s="1"/>
  <c r="H413" i="7" s="1"/>
  <c r="E414" i="7" l="1"/>
  <c r="F414" i="7" l="1"/>
  <c r="G414" i="7" s="1"/>
  <c r="H414" i="7" s="1"/>
  <c r="E415" i="7" l="1"/>
  <c r="F415" i="7" l="1"/>
  <c r="G415" i="7" s="1"/>
  <c r="H415" i="7" s="1"/>
  <c r="E416" i="7" l="1"/>
  <c r="F416" i="7" l="1"/>
  <c r="G416" i="7" s="1"/>
  <c r="H416" i="7" s="1"/>
  <c r="E417" i="7" l="1"/>
  <c r="F417" i="7" l="1"/>
  <c r="G417" i="7" s="1"/>
  <c r="H417" i="7" s="1"/>
  <c r="E418" i="7" l="1"/>
  <c r="F418" i="7" l="1"/>
  <c r="G418" i="7" s="1"/>
  <c r="H418" i="7" s="1"/>
  <c r="E419" i="7" l="1"/>
  <c r="F419" i="7" l="1"/>
  <c r="G419" i="7" s="1"/>
  <c r="H419" i="7" s="1"/>
  <c r="E420" i="7" l="1"/>
  <c r="F420" i="7" l="1"/>
  <c r="G420" i="7" s="1"/>
  <c r="H420" i="7" s="1"/>
  <c r="E421" i="7" l="1"/>
  <c r="F421" i="7" l="1"/>
  <c r="G421" i="7" s="1"/>
  <c r="H421" i="7" s="1"/>
  <c r="E422" i="7" l="1"/>
  <c r="F422" i="7" l="1"/>
  <c r="G422" i="7" s="1"/>
  <c r="H422" i="7" s="1"/>
  <c r="E423" i="7" l="1"/>
  <c r="F423" i="7" l="1"/>
  <c r="G423" i="7" s="1"/>
  <c r="H423" i="7" s="1"/>
  <c r="E424" i="7" l="1"/>
  <c r="F424" i="7" l="1"/>
  <c r="G424" i="7" s="1"/>
  <c r="H424" i="7" s="1"/>
  <c r="E425" i="7" l="1"/>
  <c r="F425" i="7" l="1"/>
  <c r="G425" i="7" s="1"/>
  <c r="H425" i="7" s="1"/>
  <c r="E426" i="7" l="1"/>
  <c r="F426" i="7" l="1"/>
  <c r="G426" i="7" s="1"/>
  <c r="H426" i="7" s="1"/>
  <c r="E427" i="7" l="1"/>
  <c r="F427" i="7" l="1"/>
  <c r="G427" i="7" s="1"/>
  <c r="H427" i="7" s="1"/>
  <c r="E428" i="7" l="1"/>
  <c r="F428" i="7" l="1"/>
  <c r="G428" i="7" s="1"/>
  <c r="H428" i="7" s="1"/>
  <c r="E429" i="7" l="1"/>
  <c r="F429" i="7" l="1"/>
  <c r="G429" i="7" s="1"/>
  <c r="H429" i="7" s="1"/>
  <c r="E430" i="7" l="1"/>
  <c r="F430" i="7" l="1"/>
  <c r="G430" i="7" s="1"/>
  <c r="H430" i="7" s="1"/>
  <c r="E431" i="7" l="1"/>
  <c r="F431" i="7" l="1"/>
  <c r="G431" i="7" s="1"/>
  <c r="H431" i="7" s="1"/>
  <c r="E432" i="7" l="1"/>
  <c r="F432" i="7" l="1"/>
  <c r="G432" i="7" s="1"/>
  <c r="H432" i="7" s="1"/>
  <c r="E433" i="7" l="1"/>
  <c r="F433" i="7" l="1"/>
  <c r="G433" i="7" s="1"/>
  <c r="H433" i="7" s="1"/>
  <c r="E434" i="7" l="1"/>
  <c r="F434" i="7" l="1"/>
  <c r="G434" i="7" s="1"/>
  <c r="H434" i="7" s="1"/>
  <c r="E435" i="7" l="1"/>
  <c r="F435" i="7" l="1"/>
  <c r="G435" i="7" s="1"/>
  <c r="H435" i="7" s="1"/>
  <c r="E436" i="7" l="1"/>
  <c r="F436" i="7" l="1"/>
  <c r="G436" i="7" s="1"/>
  <c r="H436" i="7" s="1"/>
  <c r="E437" i="7" l="1"/>
  <c r="F437" i="7" l="1"/>
  <c r="G437" i="7" s="1"/>
  <c r="H437" i="7" s="1"/>
  <c r="E438" i="7" l="1"/>
  <c r="F438" i="7" l="1"/>
  <c r="G438" i="7" s="1"/>
  <c r="H438" i="7" s="1"/>
  <c r="E439" i="7" l="1"/>
  <c r="F439" i="7" l="1"/>
  <c r="G439" i="7" s="1"/>
  <c r="H439" i="7" s="1"/>
  <c r="E440" i="7" l="1"/>
  <c r="F440" i="7" l="1"/>
  <c r="G440" i="7" s="1"/>
  <c r="H440" i="7" s="1"/>
  <c r="E441" i="7" l="1"/>
  <c r="F441" i="7" l="1"/>
  <c r="G441" i="7" s="1"/>
  <c r="H441" i="7" s="1"/>
  <c r="E442" i="7" l="1"/>
  <c r="F442" i="7" l="1"/>
  <c r="G442" i="7" s="1"/>
  <c r="H442" i="7" s="1"/>
  <c r="E443" i="7" l="1"/>
  <c r="F443" i="7" l="1"/>
  <c r="G443" i="7" s="1"/>
  <c r="H443" i="7" s="1"/>
  <c r="E444" i="7" l="1"/>
  <c r="F444" i="7" l="1"/>
  <c r="G444" i="7" s="1"/>
  <c r="H444" i="7" s="1"/>
  <c r="E445" i="7" l="1"/>
  <c r="F445" i="7" l="1"/>
  <c r="G445" i="7" s="1"/>
  <c r="H445" i="7" s="1"/>
  <c r="E446" i="7" l="1"/>
  <c r="F446" i="7" l="1"/>
  <c r="G446" i="7" s="1"/>
  <c r="H446" i="7" s="1"/>
  <c r="E447" i="7" l="1"/>
  <c r="F447" i="7" l="1"/>
  <c r="G447" i="7" s="1"/>
  <c r="H447" i="7" s="1"/>
  <c r="E448" i="7" l="1"/>
  <c r="F448" i="7" l="1"/>
  <c r="G448" i="7" s="1"/>
  <c r="H448" i="7" s="1"/>
  <c r="E449" i="7" l="1"/>
  <c r="F449" i="7" l="1"/>
  <c r="G449" i="7" s="1"/>
  <c r="H449" i="7" s="1"/>
  <c r="E450" i="7" l="1"/>
  <c r="F450" i="7" l="1"/>
  <c r="G450" i="7" s="1"/>
  <c r="H450" i="7" s="1"/>
  <c r="E451" i="7" l="1"/>
  <c r="F451" i="7" l="1"/>
  <c r="G451" i="7" s="1"/>
  <c r="H451" i="7" s="1"/>
  <c r="E452" i="7" l="1"/>
  <c r="F452" i="7" l="1"/>
  <c r="G452" i="7" s="1"/>
  <c r="H452" i="7" s="1"/>
  <c r="E453" i="7" l="1"/>
  <c r="F453" i="7" l="1"/>
  <c r="G453" i="7" s="1"/>
  <c r="H453" i="7" s="1"/>
  <c r="E454" i="7" l="1"/>
  <c r="F454" i="7" l="1"/>
  <c r="G454" i="7" s="1"/>
  <c r="H454" i="7" s="1"/>
  <c r="E455" i="7" l="1"/>
  <c r="F455" i="7" l="1"/>
  <c r="G455" i="7" s="1"/>
  <c r="H455" i="7" s="1"/>
  <c r="E456" i="7" l="1"/>
  <c r="F456" i="7" l="1"/>
  <c r="G456" i="7" s="1"/>
  <c r="H456" i="7" s="1"/>
  <c r="E457" i="7" l="1"/>
  <c r="F457" i="7" l="1"/>
  <c r="G457" i="7" s="1"/>
  <c r="H457" i="7" s="1"/>
  <c r="E458" i="7" l="1"/>
  <c r="F458" i="7" l="1"/>
  <c r="G458" i="7" s="1"/>
  <c r="H458" i="7" s="1"/>
  <c r="E459" i="7" l="1"/>
  <c r="F459" i="7" l="1"/>
  <c r="G459" i="7" s="1"/>
  <c r="H459" i="7" s="1"/>
  <c r="E460" i="7" l="1"/>
  <c r="F460" i="7" l="1"/>
  <c r="G460" i="7" s="1"/>
  <c r="H460" i="7" s="1"/>
  <c r="E461" i="7" l="1"/>
  <c r="F461" i="7" l="1"/>
  <c r="G461" i="7" s="1"/>
  <c r="H461" i="7" s="1"/>
  <c r="E462" i="7" l="1"/>
  <c r="F462" i="7" l="1"/>
  <c r="G462" i="7" s="1"/>
  <c r="H462" i="7" s="1"/>
  <c r="E463" i="7" l="1"/>
  <c r="F463" i="7" l="1"/>
  <c r="G463" i="7" s="1"/>
  <c r="H463" i="7" s="1"/>
  <c r="E464" i="7" l="1"/>
  <c r="F464" i="7" l="1"/>
  <c r="G464" i="7" s="1"/>
  <c r="H464" i="7" s="1"/>
  <c r="E465" i="7" l="1"/>
  <c r="F465" i="7" l="1"/>
  <c r="G465" i="7" s="1"/>
  <c r="H465" i="7" s="1"/>
  <c r="E466" i="7" l="1"/>
  <c r="F466" i="7" l="1"/>
  <c r="G466" i="7" s="1"/>
  <c r="H466" i="7" s="1"/>
  <c r="E467" i="7" l="1"/>
  <c r="F467" i="7" l="1"/>
  <c r="G467" i="7" s="1"/>
  <c r="H467" i="7" s="1"/>
  <c r="E468" i="7" l="1"/>
  <c r="F468" i="7" l="1"/>
  <c r="G468" i="7" s="1"/>
  <c r="H468" i="7" s="1"/>
  <c r="E469" i="7" l="1"/>
  <c r="F469" i="7" l="1"/>
  <c r="G469" i="7" s="1"/>
  <c r="H469" i="7" s="1"/>
  <c r="E470" i="7" l="1"/>
  <c r="F470" i="7" l="1"/>
  <c r="G470" i="7" s="1"/>
  <c r="H470" i="7" s="1"/>
  <c r="E471" i="7" l="1"/>
  <c r="F471" i="7" l="1"/>
  <c r="G471" i="7" s="1"/>
  <c r="H471" i="7" s="1"/>
  <c r="E472" i="7" l="1"/>
  <c r="F472" i="7" l="1"/>
  <c r="G472" i="7" s="1"/>
  <c r="H472" i="7" s="1"/>
  <c r="E473" i="7" l="1"/>
  <c r="F473" i="7" l="1"/>
  <c r="G473" i="7" s="1"/>
  <c r="H473" i="7" s="1"/>
  <c r="E474" i="7" l="1"/>
  <c r="F474" i="7" l="1"/>
  <c r="G474" i="7" s="1"/>
  <c r="H474" i="7" s="1"/>
  <c r="E475" i="7" l="1"/>
  <c r="F475" i="7" l="1"/>
  <c r="G475" i="7" s="1"/>
  <c r="H475" i="7" s="1"/>
  <c r="E476" i="7" l="1"/>
  <c r="F476" i="7" l="1"/>
  <c r="G476" i="7" s="1"/>
  <c r="H476" i="7" s="1"/>
  <c r="E477" i="7" l="1"/>
  <c r="F477" i="7" l="1"/>
  <c r="G477" i="7" s="1"/>
  <c r="H477" i="7" s="1"/>
  <c r="E478" i="7" l="1"/>
  <c r="F478" i="7" l="1"/>
  <c r="G478" i="7" s="1"/>
  <c r="H478" i="7" s="1"/>
  <c r="E479" i="7" l="1"/>
  <c r="F479" i="7" l="1"/>
  <c r="G479" i="7" s="1"/>
  <c r="H479" i="7" s="1"/>
  <c r="E480" i="7" l="1"/>
  <c r="F480" i="7" l="1"/>
  <c r="G480" i="7" s="1"/>
  <c r="H480" i="7" s="1"/>
  <c r="E481" i="7" l="1"/>
  <c r="F481" i="7" l="1"/>
  <c r="G481" i="7" s="1"/>
  <c r="H481" i="7" s="1"/>
  <c r="E482" i="7" l="1"/>
  <c r="F482" i="7" l="1"/>
  <c r="G482" i="7" s="1"/>
  <c r="H482" i="7" s="1"/>
  <c r="E483" i="7" l="1"/>
  <c r="F483" i="7" l="1"/>
  <c r="G483" i="7" s="1"/>
  <c r="H483" i="7" s="1"/>
  <c r="E484" i="7" l="1"/>
  <c r="F484" i="7" l="1"/>
  <c r="G484" i="7" s="1"/>
  <c r="H484" i="7" s="1"/>
  <c r="E485" i="7" l="1"/>
  <c r="F485" i="7" l="1"/>
  <c r="G485" i="7" s="1"/>
  <c r="H485" i="7" s="1"/>
  <c r="E486" i="7" l="1"/>
  <c r="F486" i="7" l="1"/>
  <c r="G486" i="7" s="1"/>
  <c r="H486" i="7" s="1"/>
  <c r="E487" i="7" l="1"/>
  <c r="F487" i="7" l="1"/>
  <c r="G487" i="7" s="1"/>
  <c r="H487" i="7" s="1"/>
  <c r="E488" i="7" l="1"/>
  <c r="F488" i="7" l="1"/>
  <c r="G488" i="7" s="1"/>
  <c r="H488" i="7" s="1"/>
  <c r="E489" i="7" l="1"/>
  <c r="F489" i="7" l="1"/>
  <c r="G489" i="7" s="1"/>
  <c r="H489" i="7" s="1"/>
  <c r="E490" i="7" l="1"/>
  <c r="F490" i="7" l="1"/>
  <c r="G490" i="7" s="1"/>
  <c r="H490" i="7" s="1"/>
  <c r="E491" i="7" l="1"/>
  <c r="F491" i="7" l="1"/>
  <c r="G491" i="7" s="1"/>
  <c r="H491" i="7" s="1"/>
  <c r="E492" i="7" l="1"/>
  <c r="F492" i="7" l="1"/>
  <c r="G492" i="7" s="1"/>
  <c r="H492" i="7" s="1"/>
  <c r="E493" i="7" l="1"/>
  <c r="F493" i="7" l="1"/>
  <c r="G493" i="7" s="1"/>
  <c r="H493" i="7" s="1"/>
  <c r="E494" i="7" l="1"/>
  <c r="F494" i="7" l="1"/>
  <c r="G494" i="7" s="1"/>
  <c r="H494" i="7" s="1"/>
  <c r="E495" i="7" l="1"/>
  <c r="F495" i="7" l="1"/>
  <c r="G495" i="7" s="1"/>
  <c r="H495" i="7" s="1"/>
  <c r="E496" i="7" l="1"/>
  <c r="F496" i="7" l="1"/>
  <c r="G496" i="7" s="1"/>
  <c r="H496" i="7" s="1"/>
  <c r="E497" i="7" l="1"/>
  <c r="F497" i="7" l="1"/>
  <c r="G497" i="7" s="1"/>
  <c r="H497" i="7" s="1"/>
  <c r="E498" i="7" l="1"/>
  <c r="F498" i="7" l="1"/>
  <c r="G498" i="7" s="1"/>
  <c r="H498" i="7" s="1"/>
  <c r="E499" i="7" l="1"/>
  <c r="F499" i="7" l="1"/>
  <c r="G499" i="7" s="1"/>
  <c r="H499" i="7" s="1"/>
  <c r="E500" i="7" l="1"/>
  <c r="F500" i="7" l="1"/>
  <c r="G500" i="7" s="1"/>
  <c r="H500" i="7" s="1"/>
  <c r="E501" i="7" l="1"/>
  <c r="F501" i="7" l="1"/>
  <c r="G501" i="7" s="1"/>
  <c r="H501" i="7" s="1"/>
  <c r="E502" i="7" l="1"/>
  <c r="F502" i="7" l="1"/>
  <c r="G502" i="7" s="1"/>
  <c r="H502" i="7" s="1"/>
  <c r="E503" i="7" l="1"/>
  <c r="F503" i="7" l="1"/>
  <c r="G503" i="7" s="1"/>
  <c r="H503" i="7" s="1"/>
  <c r="E504" i="7" l="1"/>
  <c r="F504" i="7" l="1"/>
  <c r="G504" i="7" s="1"/>
  <c r="H504" i="7" s="1"/>
  <c r="E505" i="7" l="1"/>
  <c r="F505" i="7" l="1"/>
  <c r="G505" i="7" s="1"/>
  <c r="H505" i="7" s="1"/>
  <c r="E506" i="7" l="1"/>
  <c r="F506" i="7" l="1"/>
  <c r="G506" i="7" s="1"/>
  <c r="H506" i="7" s="1"/>
  <c r="E507" i="7" l="1"/>
  <c r="F507" i="7" l="1"/>
  <c r="G507" i="7" s="1"/>
  <c r="H507" i="7" s="1"/>
  <c r="E508" i="7" l="1"/>
  <c r="F508" i="7" l="1"/>
  <c r="G508" i="7" s="1"/>
  <c r="H508" i="7" s="1"/>
  <c r="E509" i="7" l="1"/>
  <c r="F509" i="7" l="1"/>
  <c r="G509" i="7" s="1"/>
  <c r="H509" i="7" s="1"/>
  <c r="E510" i="7" l="1"/>
  <c r="F510" i="7" l="1"/>
  <c r="G510" i="7" s="1"/>
  <c r="H510" i="7" s="1"/>
  <c r="E511" i="7" l="1"/>
  <c r="F511" i="7" l="1"/>
  <c r="G511" i="7" s="1"/>
  <c r="H511" i="7" s="1"/>
  <c r="E512" i="7" l="1"/>
  <c r="F512" i="7" l="1"/>
  <c r="G512" i="7" s="1"/>
  <c r="H512" i="7" s="1"/>
  <c r="E513" i="7" l="1"/>
  <c r="F513" i="7" l="1"/>
  <c r="G513" i="7" s="1"/>
  <c r="H513" i="7" s="1"/>
  <c r="E514" i="7" l="1"/>
  <c r="F514" i="7" l="1"/>
  <c r="G514" i="7" s="1"/>
  <c r="H514" i="7" s="1"/>
  <c r="E515" i="7" l="1"/>
  <c r="F515" i="7" l="1"/>
  <c r="G515" i="7" s="1"/>
  <c r="H515" i="7" s="1"/>
  <c r="E516" i="7" l="1"/>
  <c r="F516" i="7" l="1"/>
  <c r="G516" i="7" s="1"/>
  <c r="H516" i="7" s="1"/>
  <c r="E517" i="7" l="1"/>
  <c r="F517" i="7" l="1"/>
  <c r="G517" i="7" s="1"/>
  <c r="H517" i="7" s="1"/>
  <c r="E518" i="7" l="1"/>
  <c r="F518" i="7" l="1"/>
  <c r="G518" i="7" s="1"/>
  <c r="H518" i="7" s="1"/>
  <c r="E519" i="7" l="1"/>
  <c r="F519" i="7" l="1"/>
  <c r="G519" i="7" s="1"/>
  <c r="H519" i="7" s="1"/>
  <c r="E520" i="7" l="1"/>
  <c r="F520" i="7" l="1"/>
  <c r="G520" i="7" s="1"/>
  <c r="H520" i="7" s="1"/>
  <c r="E521" i="7" l="1"/>
  <c r="F521" i="7" l="1"/>
  <c r="G521" i="7" s="1"/>
  <c r="H521" i="7" s="1"/>
  <c r="E522" i="7" l="1"/>
  <c r="F522" i="7" l="1"/>
  <c r="G522" i="7" s="1"/>
  <c r="H522" i="7" s="1"/>
  <c r="E523" i="7" l="1"/>
  <c r="F523" i="7" l="1"/>
  <c r="G523" i="7" s="1"/>
  <c r="H523" i="7" s="1"/>
  <c r="E524" i="7" l="1"/>
  <c r="F524" i="7" l="1"/>
  <c r="G524" i="7" s="1"/>
  <c r="H524" i="7" s="1"/>
  <c r="E525" i="7" l="1"/>
  <c r="F525" i="7" l="1"/>
  <c r="G525" i="7" s="1"/>
  <c r="H525" i="7" s="1"/>
  <c r="E526" i="7" l="1"/>
  <c r="F526" i="7" l="1"/>
  <c r="G526" i="7" s="1"/>
  <c r="H526" i="7" s="1"/>
  <c r="E527" i="7" l="1"/>
  <c r="F527" i="7" l="1"/>
  <c r="G527" i="7" s="1"/>
  <c r="H527" i="7" s="1"/>
  <c r="E528" i="7" l="1"/>
  <c r="F528" i="7" l="1"/>
  <c r="G528" i="7" s="1"/>
  <c r="H528" i="7" s="1"/>
  <c r="E529" i="7" l="1"/>
  <c r="F529" i="7" l="1"/>
  <c r="G529" i="7" s="1"/>
  <c r="H529" i="7" s="1"/>
  <c r="E530" i="7" l="1"/>
  <c r="F530" i="7" l="1"/>
  <c r="G530" i="7" s="1"/>
  <c r="H530" i="7" s="1"/>
  <c r="E531" i="7" l="1"/>
  <c r="F531" i="7" l="1"/>
  <c r="G531" i="7" s="1"/>
  <c r="H531" i="7" s="1"/>
  <c r="E532" i="7" l="1"/>
  <c r="F532" i="7" l="1"/>
  <c r="G532" i="7" s="1"/>
  <c r="H532" i="7" s="1"/>
  <c r="E533" i="7" l="1"/>
  <c r="F533" i="7" l="1"/>
  <c r="G533" i="7" s="1"/>
  <c r="H533" i="7" s="1"/>
  <c r="E534" i="7" l="1"/>
  <c r="F534" i="7" l="1"/>
  <c r="G534" i="7" s="1"/>
  <c r="H534" i="7" s="1"/>
  <c r="E535" i="7" l="1"/>
  <c r="F535" i="7" l="1"/>
  <c r="G535" i="7" s="1"/>
  <c r="H535" i="7" s="1"/>
  <c r="E536" i="7" l="1"/>
  <c r="F536" i="7" l="1"/>
  <c r="G536" i="7" s="1"/>
  <c r="H536" i="7" s="1"/>
  <c r="E537" i="7" l="1"/>
  <c r="F537" i="7" l="1"/>
  <c r="G537" i="7" s="1"/>
  <c r="H537" i="7" s="1"/>
  <c r="E538" i="7" l="1"/>
  <c r="F538" i="7" l="1"/>
  <c r="G538" i="7" s="1"/>
  <c r="H538" i="7" s="1"/>
  <c r="E539" i="7" l="1"/>
  <c r="F539" i="7" l="1"/>
  <c r="G539" i="7" s="1"/>
  <c r="H539" i="7" s="1"/>
  <c r="E540" i="7" l="1"/>
  <c r="F540" i="7" l="1"/>
  <c r="G540" i="7" s="1"/>
  <c r="H540" i="7" s="1"/>
  <c r="E541" i="7" l="1"/>
  <c r="F541" i="7" l="1"/>
  <c r="G541" i="7" s="1"/>
  <c r="H541" i="7" s="1"/>
  <c r="E542" i="7" l="1"/>
  <c r="F542" i="7" l="1"/>
  <c r="G542" i="7" s="1"/>
  <c r="H542" i="7" s="1"/>
  <c r="E543" i="7" l="1"/>
  <c r="F543" i="7" l="1"/>
  <c r="G543" i="7" s="1"/>
  <c r="H543" i="7" s="1"/>
  <c r="E544" i="7" l="1"/>
  <c r="F544" i="7" l="1"/>
  <c r="G544" i="7" s="1"/>
  <c r="H544" i="7" s="1"/>
  <c r="E545" i="7" l="1"/>
  <c r="F545" i="7" l="1"/>
  <c r="G545" i="7" s="1"/>
  <c r="H545" i="7" s="1"/>
  <c r="E546" i="7" l="1"/>
  <c r="F546" i="7" l="1"/>
  <c r="G546" i="7" s="1"/>
  <c r="H546" i="7" s="1"/>
  <c r="E547" i="7" l="1"/>
  <c r="F547" i="7" l="1"/>
  <c r="G547" i="7" s="1"/>
  <c r="H547" i="7" s="1"/>
  <c r="E548" i="7" l="1"/>
  <c r="F548" i="7" l="1"/>
  <c r="G548" i="7" s="1"/>
  <c r="H548" i="7" s="1"/>
  <c r="E549" i="7" l="1"/>
  <c r="F549" i="7" l="1"/>
  <c r="G549" i="7" s="1"/>
  <c r="H549" i="7" s="1"/>
  <c r="E550" i="7" l="1"/>
  <c r="F550" i="7" l="1"/>
  <c r="G550" i="7" s="1"/>
  <c r="H550" i="7" s="1"/>
  <c r="E551" i="7" l="1"/>
  <c r="F551" i="7" l="1"/>
  <c r="G551" i="7" s="1"/>
  <c r="H551" i="7" s="1"/>
  <c r="E552" i="7" l="1"/>
  <c r="F552" i="7" l="1"/>
  <c r="G552" i="7" s="1"/>
  <c r="H552" i="7" s="1"/>
  <c r="E553" i="7" l="1"/>
  <c r="F553" i="7" l="1"/>
  <c r="G553" i="7" s="1"/>
  <c r="H553" i="7" s="1"/>
  <c r="E554" i="7" l="1"/>
  <c r="F554" i="7" l="1"/>
  <c r="G554" i="7" s="1"/>
  <c r="H554" i="7" s="1"/>
  <c r="E555" i="7" l="1"/>
  <c r="F555" i="7" l="1"/>
  <c r="G555" i="7" s="1"/>
  <c r="H555" i="7" s="1"/>
  <c r="E556" i="7" l="1"/>
  <c r="F556" i="7" l="1"/>
  <c r="G556" i="7" s="1"/>
  <c r="H556" i="7" s="1"/>
  <c r="E557" i="7" l="1"/>
  <c r="F557" i="7" l="1"/>
  <c r="G557" i="7" s="1"/>
  <c r="H557" i="7" s="1"/>
  <c r="E558" i="7" l="1"/>
  <c r="F558" i="7" l="1"/>
  <c r="G558" i="7" s="1"/>
  <c r="H558" i="7" s="1"/>
  <c r="E559" i="7" l="1"/>
  <c r="F559" i="7" l="1"/>
  <c r="G559" i="7" s="1"/>
  <c r="H559" i="7" s="1"/>
  <c r="E560" i="7" l="1"/>
  <c r="F560" i="7" l="1"/>
  <c r="G560" i="7" s="1"/>
  <c r="H560" i="7" s="1"/>
  <c r="E561" i="7" l="1"/>
  <c r="F561" i="7" l="1"/>
  <c r="G561" i="7" s="1"/>
  <c r="H561" i="7" s="1"/>
  <c r="E562" i="7" l="1"/>
  <c r="F562" i="7" l="1"/>
  <c r="G562" i="7" s="1"/>
  <c r="H562" i="7" s="1"/>
  <c r="E563" i="7" l="1"/>
  <c r="F563" i="7" l="1"/>
  <c r="G563" i="7" s="1"/>
  <c r="H563" i="7" s="1"/>
  <c r="E564" i="7" l="1"/>
  <c r="F564" i="7" l="1"/>
  <c r="G564" i="7" s="1"/>
  <c r="H564" i="7" s="1"/>
  <c r="E565" i="7" l="1"/>
  <c r="F565" i="7" l="1"/>
  <c r="G565" i="7" s="1"/>
  <c r="H565" i="7" s="1"/>
  <c r="E566" i="7" l="1"/>
  <c r="F566" i="7" l="1"/>
  <c r="G566" i="7" s="1"/>
  <c r="H566" i="7" s="1"/>
  <c r="E567" i="7" l="1"/>
  <c r="F567" i="7" l="1"/>
  <c r="G567" i="7" s="1"/>
  <c r="H567" i="7" s="1"/>
  <c r="E568" i="7" l="1"/>
  <c r="F568" i="7" l="1"/>
  <c r="G568" i="7" s="1"/>
  <c r="H568" i="7" s="1"/>
  <c r="E569" i="7" l="1"/>
  <c r="F569" i="7" l="1"/>
  <c r="G569" i="7" s="1"/>
  <c r="H569" i="7" s="1"/>
  <c r="E570" i="7" l="1"/>
  <c r="F570" i="7" l="1"/>
  <c r="G570" i="7" s="1"/>
  <c r="H570" i="7" s="1"/>
  <c r="E571" i="7" l="1"/>
  <c r="F571" i="7" l="1"/>
  <c r="G571" i="7" s="1"/>
  <c r="H571" i="7" s="1"/>
  <c r="E572" i="7" l="1"/>
  <c r="F572" i="7" l="1"/>
  <c r="G572" i="7" s="1"/>
  <c r="H572" i="7" s="1"/>
  <c r="E573" i="7" l="1"/>
  <c r="F573" i="7" l="1"/>
  <c r="G573" i="7" s="1"/>
  <c r="H573" i="7" s="1"/>
  <c r="E574" i="7" l="1"/>
  <c r="F574" i="7" l="1"/>
  <c r="G574" i="7" s="1"/>
  <c r="H574" i="7" s="1"/>
  <c r="E575" i="7" l="1"/>
  <c r="F575" i="7" l="1"/>
  <c r="G575" i="7" s="1"/>
  <c r="H575" i="7" s="1"/>
  <c r="E576" i="7" l="1"/>
  <c r="F576" i="7" l="1"/>
  <c r="G576" i="7" s="1"/>
  <c r="H576" i="7" s="1"/>
  <c r="E577" i="7" l="1"/>
  <c r="F577" i="7" l="1"/>
  <c r="G577" i="7" s="1"/>
  <c r="H577" i="7" s="1"/>
  <c r="E578" i="7" l="1"/>
  <c r="F578" i="7" l="1"/>
  <c r="G578" i="7" s="1"/>
  <c r="H578" i="7" s="1"/>
  <c r="E579" i="7" l="1"/>
  <c r="F579" i="7" l="1"/>
  <c r="G579" i="7" s="1"/>
  <c r="H579" i="7" s="1"/>
  <c r="E580" i="7" l="1"/>
  <c r="F580" i="7" l="1"/>
  <c r="G580" i="7" s="1"/>
  <c r="H580" i="7" s="1"/>
  <c r="E581" i="7" l="1"/>
  <c r="F581" i="7" l="1"/>
  <c r="G581" i="7" s="1"/>
  <c r="H581" i="7" s="1"/>
  <c r="E582" i="7" l="1"/>
  <c r="F582" i="7" l="1"/>
  <c r="G582" i="7" s="1"/>
  <c r="H582" i="7" s="1"/>
  <c r="E583" i="7" l="1"/>
  <c r="F583" i="7" l="1"/>
  <c r="G583" i="7" s="1"/>
  <c r="H583" i="7" s="1"/>
  <c r="E584" i="7" l="1"/>
  <c r="F584" i="7" l="1"/>
  <c r="G584" i="7" s="1"/>
  <c r="H584" i="7" s="1"/>
  <c r="E585" i="7" l="1"/>
  <c r="F585" i="7" l="1"/>
  <c r="G585" i="7" s="1"/>
  <c r="H585" i="7" s="1"/>
  <c r="E586" i="7" l="1"/>
  <c r="F586" i="7" l="1"/>
  <c r="G586" i="7" s="1"/>
  <c r="H586" i="7" s="1"/>
  <c r="E587" i="7" l="1"/>
  <c r="F587" i="7" l="1"/>
  <c r="G587" i="7" s="1"/>
  <c r="H587" i="7" s="1"/>
  <c r="E588" i="7" l="1"/>
  <c r="F588" i="7" l="1"/>
  <c r="G588" i="7" s="1"/>
  <c r="H588" i="7" s="1"/>
  <c r="E589" i="7" l="1"/>
  <c r="F589" i="7" l="1"/>
  <c r="G589" i="7" s="1"/>
  <c r="H589" i="7" s="1"/>
  <c r="E590" i="7" l="1"/>
  <c r="F590" i="7" l="1"/>
  <c r="G590" i="7" s="1"/>
  <c r="H590" i="7" s="1"/>
  <c r="E591" i="7" l="1"/>
  <c r="F591" i="7" l="1"/>
  <c r="G591" i="7" s="1"/>
  <c r="H591" i="7" s="1"/>
  <c r="E592" i="7" l="1"/>
  <c r="F592" i="7" l="1"/>
  <c r="G592" i="7" s="1"/>
  <c r="H592" i="7" s="1"/>
  <c r="E593" i="7" l="1"/>
  <c r="F593" i="7" l="1"/>
  <c r="G593" i="7" s="1"/>
  <c r="H593" i="7" s="1"/>
  <c r="E594" i="7" l="1"/>
  <c r="F594" i="7" l="1"/>
  <c r="G594" i="7" s="1"/>
  <c r="H594" i="7" s="1"/>
  <c r="E595" i="7" l="1"/>
  <c r="F595" i="7" l="1"/>
  <c r="G595" i="7" s="1"/>
  <c r="H595" i="7" s="1"/>
  <c r="E596" i="7" l="1"/>
  <c r="F596" i="7" l="1"/>
  <c r="G596" i="7" s="1"/>
  <c r="H596" i="7" s="1"/>
  <c r="E597" i="7" l="1"/>
  <c r="F597" i="7" l="1"/>
  <c r="G597" i="7" s="1"/>
  <c r="H597" i="7" s="1"/>
  <c r="E598" i="7" l="1"/>
  <c r="F598" i="7" l="1"/>
  <c r="G598" i="7" s="1"/>
  <c r="H598" i="7" s="1"/>
  <c r="E599" i="7" l="1"/>
  <c r="F599" i="7" l="1"/>
  <c r="G599" i="7" s="1"/>
  <c r="H599" i="7" s="1"/>
  <c r="E600" i="7" l="1"/>
  <c r="F600" i="7" l="1"/>
  <c r="G600" i="7" s="1"/>
  <c r="H600" i="7" s="1"/>
  <c r="E601" i="7" l="1"/>
  <c r="F601" i="7" l="1"/>
  <c r="G601" i="7" s="1"/>
  <c r="H601" i="7" s="1"/>
  <c r="E602" i="7" l="1"/>
  <c r="F602" i="7" l="1"/>
  <c r="G602" i="7" s="1"/>
  <c r="H602" i="7" s="1"/>
  <c r="E603" i="7" l="1"/>
  <c r="F603" i="7" l="1"/>
  <c r="G603" i="7" s="1"/>
  <c r="H603" i="7" s="1"/>
  <c r="E604" i="7" l="1"/>
  <c r="F604" i="7" l="1"/>
  <c r="G604" i="7" s="1"/>
  <c r="H604" i="7" s="1"/>
  <c r="E605" i="7" l="1"/>
  <c r="F605" i="7" l="1"/>
  <c r="G605" i="7" s="1"/>
  <c r="H605" i="7" s="1"/>
  <c r="E606" i="7" l="1"/>
  <c r="F606" i="7" l="1"/>
  <c r="G606" i="7" s="1"/>
  <c r="H606" i="7" s="1"/>
  <c r="E607" i="7" l="1"/>
  <c r="F607" i="7" l="1"/>
  <c r="G607" i="7" s="1"/>
  <c r="H607" i="7" s="1"/>
  <c r="E608" i="7" l="1"/>
  <c r="F608" i="7" l="1"/>
  <c r="G608" i="7" s="1"/>
  <c r="H608" i="7" s="1"/>
  <c r="E609" i="7" l="1"/>
  <c r="F609" i="7" l="1"/>
  <c r="G609" i="7" s="1"/>
  <c r="H609" i="7" s="1"/>
  <c r="E610" i="7" l="1"/>
  <c r="F610" i="7" l="1"/>
  <c r="G610" i="7" s="1"/>
  <c r="H610" i="7" s="1"/>
  <c r="E611" i="7" l="1"/>
  <c r="F611" i="7" l="1"/>
  <c r="G611" i="7" s="1"/>
  <c r="H611" i="7" s="1"/>
  <c r="E612" i="7" l="1"/>
  <c r="F612" i="7" l="1"/>
  <c r="G612" i="7" s="1"/>
  <c r="H612" i="7" s="1"/>
  <c r="E613" i="7" l="1"/>
  <c r="F613" i="7" l="1"/>
  <c r="G613" i="7" s="1"/>
  <c r="H613" i="7" s="1"/>
  <c r="E614" i="7" l="1"/>
  <c r="F614" i="7" l="1"/>
  <c r="G614" i="7" s="1"/>
  <c r="H614" i="7" s="1"/>
  <c r="E615" i="7" l="1"/>
  <c r="F615" i="7" l="1"/>
  <c r="G615" i="7" s="1"/>
  <c r="H615" i="7" s="1"/>
  <c r="E616" i="7" l="1"/>
  <c r="F616" i="7" l="1"/>
  <c r="G616" i="7" s="1"/>
  <c r="H616" i="7" s="1"/>
  <c r="E617" i="7" l="1"/>
  <c r="F617" i="7" l="1"/>
  <c r="G617" i="7" s="1"/>
  <c r="H617" i="7" s="1"/>
  <c r="E618" i="7" l="1"/>
  <c r="F618" i="7" l="1"/>
  <c r="G618" i="7" s="1"/>
  <c r="H618" i="7" s="1"/>
  <c r="E619" i="7" l="1"/>
  <c r="F619" i="7" l="1"/>
  <c r="G619" i="7" s="1"/>
  <c r="H619" i="7" s="1"/>
  <c r="E620" i="7" l="1"/>
  <c r="F620" i="7" l="1"/>
  <c r="G620" i="7" s="1"/>
  <c r="H620" i="7" s="1"/>
  <c r="E621" i="7" l="1"/>
  <c r="F621" i="7" l="1"/>
  <c r="G621" i="7" s="1"/>
  <c r="H621" i="7" s="1"/>
  <c r="E622" i="7" l="1"/>
  <c r="F622" i="7" l="1"/>
  <c r="G622" i="7" s="1"/>
  <c r="H622" i="7" s="1"/>
  <c r="E623" i="7" l="1"/>
  <c r="F623" i="7" l="1"/>
  <c r="G623" i="7" s="1"/>
  <c r="H623" i="7" s="1"/>
  <c r="E624" i="7" l="1"/>
  <c r="F624" i="7" l="1"/>
  <c r="G624" i="7" s="1"/>
  <c r="H624" i="7" s="1"/>
  <c r="E625" i="7" l="1"/>
  <c r="F625" i="7" l="1"/>
  <c r="G625" i="7" s="1"/>
  <c r="H625" i="7" s="1"/>
  <c r="E626" i="7" l="1"/>
  <c r="F626" i="7" l="1"/>
  <c r="G626" i="7" s="1"/>
  <c r="H626" i="7" s="1"/>
  <c r="E627" i="7" l="1"/>
  <c r="F627" i="7" l="1"/>
  <c r="G627" i="7" s="1"/>
  <c r="H627" i="7" s="1"/>
  <c r="E628" i="7" l="1"/>
  <c r="F628" i="7" l="1"/>
  <c r="G628" i="7" s="1"/>
  <c r="H628" i="7" s="1"/>
  <c r="E629" i="7" l="1"/>
  <c r="F629" i="7" l="1"/>
  <c r="G629" i="7" s="1"/>
  <c r="H629" i="7" s="1"/>
  <c r="E630" i="7" l="1"/>
  <c r="F630" i="7" l="1"/>
  <c r="G630" i="7" s="1"/>
  <c r="H630" i="7" s="1"/>
  <c r="E631" i="7" l="1"/>
  <c r="F631" i="7" l="1"/>
  <c r="G631" i="7" s="1"/>
  <c r="H631" i="7" s="1"/>
  <c r="E632" i="7" l="1"/>
  <c r="F632" i="7" l="1"/>
  <c r="G632" i="7" s="1"/>
  <c r="H632" i="7" s="1"/>
  <c r="E633" i="7" l="1"/>
  <c r="F633" i="7" l="1"/>
  <c r="G633" i="7" s="1"/>
  <c r="H633" i="7" s="1"/>
  <c r="E634" i="7" l="1"/>
  <c r="F634" i="7" l="1"/>
  <c r="G634" i="7" s="1"/>
  <c r="H634" i="7" s="1"/>
  <c r="E635" i="7" l="1"/>
  <c r="F635" i="7" l="1"/>
  <c r="G635" i="7" s="1"/>
  <c r="H635" i="7" s="1"/>
  <c r="E636" i="7" l="1"/>
  <c r="F636" i="7" l="1"/>
  <c r="G636" i="7" s="1"/>
  <c r="H636" i="7" s="1"/>
  <c r="E637" i="7" l="1"/>
  <c r="F637" i="7" l="1"/>
  <c r="G637" i="7" s="1"/>
  <c r="H637" i="7" s="1"/>
  <c r="E638" i="7" l="1"/>
  <c r="F638" i="7" l="1"/>
  <c r="G638" i="7" s="1"/>
  <c r="H638" i="7" s="1"/>
  <c r="E639" i="7" l="1"/>
  <c r="F639" i="7" l="1"/>
  <c r="G639" i="7" s="1"/>
  <c r="H639" i="7" s="1"/>
  <c r="E640" i="7" l="1"/>
  <c r="F640" i="7" l="1"/>
  <c r="G640" i="7" s="1"/>
  <c r="H640" i="7" s="1"/>
  <c r="E641" i="7" l="1"/>
  <c r="F641" i="7" l="1"/>
  <c r="G641" i="7" s="1"/>
  <c r="H641" i="7" s="1"/>
  <c r="E642" i="7" l="1"/>
  <c r="F642" i="7" l="1"/>
  <c r="G642" i="7" s="1"/>
  <c r="H642" i="7" s="1"/>
  <c r="E643" i="7" l="1"/>
  <c r="F643" i="7" l="1"/>
  <c r="G643" i="7" s="1"/>
  <c r="H643" i="7" s="1"/>
  <c r="E644" i="7" l="1"/>
  <c r="F644" i="7" l="1"/>
  <c r="G644" i="7" s="1"/>
  <c r="H644" i="7" s="1"/>
  <c r="E645" i="7" l="1"/>
  <c r="F645" i="7" l="1"/>
  <c r="G645" i="7" s="1"/>
  <c r="H645" i="7" s="1"/>
  <c r="E646" i="7" l="1"/>
  <c r="F646" i="7" l="1"/>
  <c r="G646" i="7" s="1"/>
  <c r="H646" i="7" s="1"/>
  <c r="E647" i="7" l="1"/>
  <c r="F647" i="7" l="1"/>
  <c r="G647" i="7" s="1"/>
  <c r="H647" i="7" s="1"/>
  <c r="E648" i="7" l="1"/>
  <c r="F648" i="7" l="1"/>
  <c r="G648" i="7" s="1"/>
  <c r="H648" i="7" s="1"/>
  <c r="E649" i="7" l="1"/>
  <c r="F649" i="7" l="1"/>
  <c r="G649" i="7" s="1"/>
  <c r="H649" i="7" s="1"/>
  <c r="E650" i="7" l="1"/>
  <c r="F650" i="7" l="1"/>
  <c r="G650" i="7" s="1"/>
  <c r="H650" i="7" s="1"/>
  <c r="E651" i="7" l="1"/>
  <c r="F651" i="7" l="1"/>
  <c r="G651" i="7" s="1"/>
  <c r="H651" i="7" s="1"/>
  <c r="E652" i="7" l="1"/>
  <c r="F652" i="7" l="1"/>
  <c r="G652" i="7" s="1"/>
  <c r="H652" i="7" s="1"/>
  <c r="E653" i="7" l="1"/>
  <c r="F653" i="7" l="1"/>
  <c r="G653" i="7" s="1"/>
  <c r="H653" i="7" s="1"/>
  <c r="E654" i="7" l="1"/>
  <c r="F654" i="7" l="1"/>
  <c r="G654" i="7" s="1"/>
  <c r="H654" i="7" s="1"/>
  <c r="E655" i="7" l="1"/>
  <c r="F655" i="7" l="1"/>
  <c r="G655" i="7" s="1"/>
  <c r="H655" i="7" s="1"/>
  <c r="E656" i="7" l="1"/>
  <c r="F656" i="7" l="1"/>
  <c r="G656" i="7" s="1"/>
  <c r="H656" i="7" s="1"/>
  <c r="E657" i="7" l="1"/>
  <c r="F657" i="7" l="1"/>
  <c r="G657" i="7" s="1"/>
  <c r="H657" i="7" s="1"/>
  <c r="E658" i="7" l="1"/>
  <c r="F658" i="7" l="1"/>
  <c r="G658" i="7" s="1"/>
  <c r="H658" i="7" s="1"/>
  <c r="E659" i="7" l="1"/>
  <c r="F659" i="7" l="1"/>
  <c r="G659" i="7" s="1"/>
  <c r="H659" i="7" s="1"/>
  <c r="E660" i="7" l="1"/>
  <c r="F660" i="7" l="1"/>
  <c r="G660" i="7" s="1"/>
  <c r="H660" i="7" s="1"/>
  <c r="E661" i="7" l="1"/>
  <c r="F661" i="7" l="1"/>
  <c r="G661" i="7" s="1"/>
  <c r="H661" i="7" s="1"/>
  <c r="E662" i="7" l="1"/>
  <c r="F662" i="7" l="1"/>
  <c r="G662" i="7" s="1"/>
  <c r="H662" i="7" s="1"/>
  <c r="E663" i="7" l="1"/>
  <c r="F663" i="7" l="1"/>
  <c r="G663" i="7" s="1"/>
  <c r="H663" i="7" s="1"/>
  <c r="E664" i="7" l="1"/>
  <c r="F664" i="7" l="1"/>
  <c r="G664" i="7" s="1"/>
  <c r="H664" i="7" s="1"/>
  <c r="E665" i="7" l="1"/>
  <c r="F665" i="7" l="1"/>
  <c r="G665" i="7" s="1"/>
  <c r="H665" i="7" s="1"/>
  <c r="E666" i="7" l="1"/>
  <c r="F666" i="7" l="1"/>
  <c r="G666" i="7" s="1"/>
  <c r="H666" i="7" s="1"/>
  <c r="E667" i="7" l="1"/>
  <c r="F667" i="7" l="1"/>
  <c r="G667" i="7" s="1"/>
  <c r="H667" i="7" s="1"/>
  <c r="E668" i="7" l="1"/>
  <c r="F668" i="7" l="1"/>
  <c r="G668" i="7" s="1"/>
  <c r="H668" i="7" s="1"/>
  <c r="E669" i="7" l="1"/>
  <c r="F669" i="7" l="1"/>
  <c r="G669" i="7" s="1"/>
  <c r="H669" i="7" s="1"/>
  <c r="E670" i="7" l="1"/>
  <c r="F670" i="7" l="1"/>
  <c r="G670" i="7" s="1"/>
  <c r="H670" i="7" s="1"/>
  <c r="E671" i="7" l="1"/>
  <c r="F671" i="7" l="1"/>
  <c r="G671" i="7" s="1"/>
  <c r="H671" i="7" s="1"/>
  <c r="E672" i="7" l="1"/>
  <c r="F672" i="7" l="1"/>
  <c r="G672" i="7" s="1"/>
  <c r="H672" i="7" s="1"/>
  <c r="E673" i="7" l="1"/>
  <c r="F673" i="7" l="1"/>
  <c r="G673" i="7" s="1"/>
  <c r="H673" i="7" s="1"/>
  <c r="E674" i="7" l="1"/>
  <c r="F674" i="7" l="1"/>
  <c r="G674" i="7" s="1"/>
  <c r="H674" i="7" s="1"/>
  <c r="E675" i="7" l="1"/>
  <c r="F675" i="7" l="1"/>
  <c r="G675" i="7" s="1"/>
  <c r="H675" i="7" s="1"/>
  <c r="E676" i="7" l="1"/>
  <c r="F676" i="7" l="1"/>
  <c r="G676" i="7" s="1"/>
  <c r="H676" i="7" s="1"/>
  <c r="E677" i="7" l="1"/>
  <c r="F677" i="7" l="1"/>
  <c r="G677" i="7" s="1"/>
  <c r="H677" i="7" s="1"/>
  <c r="E678" i="7" l="1"/>
  <c r="F678" i="7" l="1"/>
  <c r="G678" i="7" s="1"/>
  <c r="H678" i="7" s="1"/>
  <c r="E679" i="7" l="1"/>
  <c r="F679" i="7" l="1"/>
  <c r="G679" i="7" s="1"/>
  <c r="H679" i="7" s="1"/>
  <c r="E680" i="7" l="1"/>
  <c r="F680" i="7" l="1"/>
  <c r="G680" i="7" s="1"/>
  <c r="H680" i="7" s="1"/>
  <c r="E681" i="7" l="1"/>
  <c r="F681" i="7" l="1"/>
  <c r="G681" i="7" s="1"/>
  <c r="H681" i="7" s="1"/>
  <c r="E682" i="7" l="1"/>
  <c r="F682" i="7" l="1"/>
  <c r="G682" i="7" s="1"/>
  <c r="H682" i="7" s="1"/>
  <c r="E683" i="7" l="1"/>
  <c r="F683" i="7" l="1"/>
  <c r="G683" i="7" s="1"/>
  <c r="H683" i="7" s="1"/>
  <c r="E684" i="7" l="1"/>
  <c r="F684" i="7" l="1"/>
  <c r="G684" i="7" s="1"/>
  <c r="H684" i="7" s="1"/>
  <c r="E685" i="7" l="1"/>
  <c r="F685" i="7" l="1"/>
  <c r="G685" i="7" s="1"/>
  <c r="H685" i="7" s="1"/>
  <c r="E686" i="7" l="1"/>
  <c r="F686" i="7" l="1"/>
  <c r="G686" i="7" s="1"/>
  <c r="H686" i="7" s="1"/>
  <c r="E687" i="7" l="1"/>
  <c r="F687" i="7" l="1"/>
  <c r="G687" i="7" s="1"/>
  <c r="H687" i="7" s="1"/>
  <c r="E688" i="7" l="1"/>
  <c r="F688" i="7" l="1"/>
  <c r="G688" i="7" s="1"/>
  <c r="H688" i="7" s="1"/>
  <c r="E689" i="7" l="1"/>
  <c r="F689" i="7" l="1"/>
  <c r="G689" i="7" s="1"/>
  <c r="H689" i="7" s="1"/>
  <c r="E690" i="7" l="1"/>
  <c r="F690" i="7" l="1"/>
  <c r="G690" i="7" s="1"/>
  <c r="H690" i="7" s="1"/>
  <c r="E691" i="7" l="1"/>
  <c r="F691" i="7" l="1"/>
  <c r="G691" i="7" s="1"/>
  <c r="H691" i="7" s="1"/>
  <c r="E692" i="7" l="1"/>
  <c r="F692" i="7" l="1"/>
  <c r="G692" i="7" s="1"/>
  <c r="H692" i="7" s="1"/>
  <c r="E693" i="7" l="1"/>
  <c r="F693" i="7" l="1"/>
  <c r="G693" i="7" s="1"/>
  <c r="H693" i="7" s="1"/>
  <c r="E694" i="7" l="1"/>
  <c r="F694" i="7" l="1"/>
  <c r="G694" i="7" s="1"/>
  <c r="H694" i="7" s="1"/>
  <c r="E695" i="7" l="1"/>
  <c r="F695" i="7" l="1"/>
  <c r="G695" i="7" s="1"/>
  <c r="H695" i="7" s="1"/>
  <c r="E696" i="7" l="1"/>
  <c r="F696" i="7" l="1"/>
  <c r="G696" i="7" s="1"/>
  <c r="H696" i="7" s="1"/>
  <c r="E697" i="7" l="1"/>
  <c r="F697" i="7" l="1"/>
  <c r="G697" i="7" s="1"/>
  <c r="H697" i="7" s="1"/>
  <c r="E698" i="7" l="1"/>
  <c r="F698" i="7" l="1"/>
  <c r="G698" i="7" s="1"/>
  <c r="H698" i="7" s="1"/>
  <c r="E699" i="7" l="1"/>
  <c r="F699" i="7" l="1"/>
  <c r="G699" i="7" s="1"/>
  <c r="H699" i="7" s="1"/>
  <c r="E700" i="7" l="1"/>
  <c r="F700" i="7" l="1"/>
  <c r="G700" i="7" s="1"/>
  <c r="H700" i="7" s="1"/>
  <c r="E701" i="7" l="1"/>
  <c r="F701" i="7" l="1"/>
  <c r="G701" i="7" s="1"/>
  <c r="H701" i="7" s="1"/>
  <c r="E702" i="7" l="1"/>
  <c r="F702" i="7" l="1"/>
  <c r="G702" i="7" s="1"/>
  <c r="H702" i="7" s="1"/>
  <c r="E703" i="7" l="1"/>
  <c r="F703" i="7" l="1"/>
  <c r="G703" i="7" s="1"/>
  <c r="H703" i="7" s="1"/>
  <c r="E704" i="7" l="1"/>
  <c r="F704" i="7" l="1"/>
  <c r="G704" i="7" s="1"/>
  <c r="H704" i="7" s="1"/>
  <c r="E705" i="7" l="1"/>
  <c r="F705" i="7" l="1"/>
  <c r="G705" i="7" s="1"/>
  <c r="H705" i="7" s="1"/>
  <c r="E706" i="7" l="1"/>
  <c r="F706" i="7" l="1"/>
  <c r="G706" i="7" s="1"/>
  <c r="H706" i="7" s="1"/>
  <c r="E707" i="7" l="1"/>
  <c r="F707" i="7" l="1"/>
  <c r="G707" i="7" s="1"/>
  <c r="H707" i="7" s="1"/>
  <c r="E708" i="7" l="1"/>
  <c r="F708" i="7" l="1"/>
  <c r="G708" i="7" s="1"/>
  <c r="H708" i="7" s="1"/>
  <c r="E709" i="7" l="1"/>
  <c r="F709" i="7" l="1"/>
  <c r="G709" i="7" s="1"/>
  <c r="H709" i="7" s="1"/>
  <c r="E710" i="7" l="1"/>
  <c r="F710" i="7" l="1"/>
  <c r="G710" i="7" s="1"/>
  <c r="H710" i="7" s="1"/>
  <c r="E711" i="7" l="1"/>
  <c r="F711" i="7" l="1"/>
  <c r="G711" i="7" s="1"/>
  <c r="H711" i="7" s="1"/>
  <c r="E712" i="7" l="1"/>
  <c r="F712" i="7" l="1"/>
  <c r="G712" i="7" s="1"/>
  <c r="H712" i="7" s="1"/>
  <c r="E713" i="7" l="1"/>
  <c r="F713" i="7" l="1"/>
  <c r="G713" i="7" s="1"/>
  <c r="H713" i="7" s="1"/>
  <c r="E714" i="7" l="1"/>
  <c r="F714" i="7" l="1"/>
  <c r="G714" i="7" s="1"/>
  <c r="H714" i="7" s="1"/>
  <c r="E715" i="7" l="1"/>
  <c r="F715" i="7" l="1"/>
  <c r="G715" i="7" s="1"/>
  <c r="H715" i="7" s="1"/>
  <c r="E716" i="7" l="1"/>
  <c r="F716" i="7" l="1"/>
  <c r="G716" i="7" s="1"/>
  <c r="H716" i="7" s="1"/>
  <c r="E717" i="7" l="1"/>
  <c r="F717" i="7" l="1"/>
  <c r="G717" i="7" s="1"/>
  <c r="H717" i="7" s="1"/>
  <c r="E718" i="7" l="1"/>
  <c r="F718" i="7" l="1"/>
  <c r="G718" i="7" s="1"/>
  <c r="H718" i="7" s="1"/>
  <c r="E719" i="7" l="1"/>
  <c r="F719" i="7" l="1"/>
  <c r="G719" i="7" s="1"/>
  <c r="H719" i="7" s="1"/>
  <c r="E720" i="7" l="1"/>
  <c r="F720" i="7" l="1"/>
  <c r="G720" i="7" s="1"/>
  <c r="H720" i="7" s="1"/>
  <c r="E721" i="7" l="1"/>
  <c r="F721" i="7" l="1"/>
  <c r="G721" i="7" s="1"/>
  <c r="H721" i="7" s="1"/>
  <c r="E722" i="7" l="1"/>
  <c r="F722" i="7" l="1"/>
  <c r="G722" i="7" s="1"/>
  <c r="H722" i="7" s="1"/>
  <c r="E723" i="7" l="1"/>
  <c r="F723" i="7" l="1"/>
  <c r="G723" i="7" s="1"/>
  <c r="H723" i="7" s="1"/>
  <c r="E724" i="7" l="1"/>
  <c r="F724" i="7" l="1"/>
  <c r="G724" i="7" s="1"/>
  <c r="H724" i="7" s="1"/>
  <c r="E725" i="7" l="1"/>
  <c r="F725" i="7" l="1"/>
  <c r="G725" i="7" s="1"/>
  <c r="H725" i="7" s="1"/>
  <c r="E726" i="7" l="1"/>
  <c r="F726" i="7" l="1"/>
  <c r="G726" i="7" s="1"/>
  <c r="H726" i="7" s="1"/>
  <c r="E727" i="7" l="1"/>
  <c r="F727" i="7" l="1"/>
  <c r="G727" i="7" s="1"/>
  <c r="H727" i="7" s="1"/>
  <c r="E728" i="7" l="1"/>
  <c r="F728" i="7" l="1"/>
  <c r="G728" i="7" s="1"/>
  <c r="H728" i="7" s="1"/>
  <c r="E729" i="7" l="1"/>
  <c r="F729" i="7" l="1"/>
  <c r="G729" i="7" s="1"/>
  <c r="H729" i="7" s="1"/>
  <c r="E730" i="7" l="1"/>
  <c r="F730" i="7" l="1"/>
  <c r="G730" i="7" s="1"/>
  <c r="H730" i="7" s="1"/>
  <c r="E731" i="7" l="1"/>
  <c r="F731" i="7" l="1"/>
  <c r="G731" i="7" s="1"/>
  <c r="H731" i="7" s="1"/>
  <c r="E732" i="7" l="1"/>
  <c r="F732" i="7" l="1"/>
  <c r="G732" i="7" s="1"/>
  <c r="H732" i="7" s="1"/>
  <c r="E733" i="7" l="1"/>
  <c r="F733" i="7" l="1"/>
  <c r="G733" i="7" s="1"/>
  <c r="H733" i="7" s="1"/>
  <c r="E734" i="7" l="1"/>
  <c r="F734" i="7" l="1"/>
  <c r="G734" i="7" s="1"/>
  <c r="H734" i="7" s="1"/>
  <c r="E735" i="7" l="1"/>
  <c r="F735" i="7" l="1"/>
  <c r="G735" i="7" s="1"/>
  <c r="H735" i="7" s="1"/>
  <c r="E736" i="7" l="1"/>
  <c r="F736" i="7" l="1"/>
  <c r="G736" i="7" s="1"/>
  <c r="H736" i="7" s="1"/>
  <c r="E737" i="7" l="1"/>
  <c r="F737" i="7" l="1"/>
  <c r="G737" i="7" s="1"/>
  <c r="H737" i="7" s="1"/>
  <c r="E738" i="7" l="1"/>
  <c r="F738" i="7" l="1"/>
  <c r="G738" i="7" s="1"/>
  <c r="H738" i="7" s="1"/>
  <c r="E739" i="7" l="1"/>
  <c r="F739" i="7" l="1"/>
  <c r="G739" i="7" s="1"/>
  <c r="H739" i="7" s="1"/>
  <c r="E740" i="7" l="1"/>
  <c r="F740" i="7" l="1"/>
  <c r="G740" i="7" s="1"/>
  <c r="H740" i="7" s="1"/>
  <c r="E741" i="7" l="1"/>
  <c r="F741" i="7" l="1"/>
  <c r="G741" i="7" s="1"/>
  <c r="H741" i="7" s="1"/>
  <c r="E742" i="7" l="1"/>
  <c r="F742" i="7" l="1"/>
  <c r="G742" i="7" s="1"/>
  <c r="H742" i="7" s="1"/>
  <c r="E743" i="7" l="1"/>
  <c r="F743" i="7" l="1"/>
  <c r="G743" i="7" s="1"/>
  <c r="H743" i="7" s="1"/>
  <c r="E744" i="7" l="1"/>
  <c r="F744" i="7" l="1"/>
  <c r="G744" i="7" s="1"/>
  <c r="H744" i="7" s="1"/>
  <c r="E745" i="7" l="1"/>
  <c r="F745" i="7" l="1"/>
  <c r="G745" i="7" s="1"/>
  <c r="H745" i="7" s="1"/>
  <c r="E746" i="7" l="1"/>
  <c r="F746" i="7" l="1"/>
  <c r="G746" i="7" s="1"/>
  <c r="H746" i="7" s="1"/>
  <c r="E747" i="7" l="1"/>
  <c r="F747" i="7" l="1"/>
  <c r="G747" i="7" s="1"/>
  <c r="H747" i="7" s="1"/>
  <c r="E748" i="7" l="1"/>
  <c r="F748" i="7" l="1"/>
  <c r="G748" i="7" s="1"/>
  <c r="H748" i="7" s="1"/>
  <c r="E749" i="7" l="1"/>
  <c r="F749" i="7" l="1"/>
  <c r="G749" i="7" s="1"/>
  <c r="H749" i="7" s="1"/>
  <c r="E750" i="7" l="1"/>
  <c r="F750" i="7" l="1"/>
  <c r="G750" i="7" s="1"/>
  <c r="H750" i="7" s="1"/>
  <c r="E751" i="7" l="1"/>
  <c r="F751" i="7" l="1"/>
  <c r="G751" i="7" s="1"/>
  <c r="H751" i="7" s="1"/>
  <c r="E752" i="7" l="1"/>
  <c r="F752" i="7" l="1"/>
  <c r="G752" i="7" s="1"/>
  <c r="H752" i="7" s="1"/>
  <c r="E753" i="7" l="1"/>
  <c r="F753" i="7" l="1"/>
  <c r="G753" i="7" s="1"/>
  <c r="H753" i="7" s="1"/>
  <c r="E754" i="7" l="1"/>
  <c r="F754" i="7" l="1"/>
  <c r="G754" i="7" s="1"/>
  <c r="H754" i="7" s="1"/>
  <c r="E755" i="7" l="1"/>
  <c r="F755" i="7" l="1"/>
  <c r="G755" i="7" s="1"/>
  <c r="H755" i="7" s="1"/>
  <c r="E756" i="7" l="1"/>
  <c r="F756" i="7" l="1"/>
  <c r="G756" i="7" s="1"/>
  <c r="H756" i="7" s="1"/>
  <c r="E757" i="7" l="1"/>
  <c r="F757" i="7" l="1"/>
  <c r="G757" i="7" s="1"/>
  <c r="H757" i="7" s="1"/>
  <c r="E758" i="7" l="1"/>
  <c r="F758" i="7" l="1"/>
  <c r="G758" i="7" s="1"/>
  <c r="H758" i="7" s="1"/>
  <c r="E759" i="7" l="1"/>
  <c r="F759" i="7" l="1"/>
  <c r="G759" i="7" s="1"/>
  <c r="H759" i="7" s="1"/>
  <c r="E760" i="7" l="1"/>
  <c r="F760" i="7" l="1"/>
  <c r="G760" i="7" s="1"/>
  <c r="H760" i="7" s="1"/>
  <c r="E761" i="7" l="1"/>
  <c r="F761" i="7" l="1"/>
  <c r="G761" i="7" s="1"/>
  <c r="H761" i="7" s="1"/>
  <c r="E762" i="7" l="1"/>
  <c r="F762" i="7" l="1"/>
  <c r="G762" i="7" s="1"/>
  <c r="H762" i="7" s="1"/>
  <c r="E763" i="7" l="1"/>
  <c r="F763" i="7" l="1"/>
  <c r="G763" i="7" s="1"/>
  <c r="H763" i="7" s="1"/>
  <c r="E764" i="7" l="1"/>
  <c r="F764" i="7" l="1"/>
  <c r="G764" i="7" s="1"/>
  <c r="H764" i="7" s="1"/>
  <c r="E765" i="7" l="1"/>
  <c r="F765" i="7" l="1"/>
  <c r="G765" i="7" s="1"/>
  <c r="H765" i="7" s="1"/>
  <c r="E766" i="7" l="1"/>
  <c r="F766" i="7" l="1"/>
  <c r="G766" i="7" s="1"/>
  <c r="H766" i="7" s="1"/>
  <c r="E767" i="7" l="1"/>
  <c r="F767" i="7" l="1"/>
  <c r="G767" i="7" s="1"/>
  <c r="H767" i="7" s="1"/>
  <c r="E768" i="7" l="1"/>
  <c r="F768" i="7" l="1"/>
  <c r="G768" i="7" s="1"/>
  <c r="H768" i="7" s="1"/>
  <c r="E769" i="7" l="1"/>
  <c r="F769" i="7" l="1"/>
  <c r="G769" i="7" s="1"/>
  <c r="H769" i="7" s="1"/>
  <c r="E770" i="7" l="1"/>
  <c r="F770" i="7" l="1"/>
  <c r="G770" i="7" s="1"/>
  <c r="H770" i="7" s="1"/>
  <c r="E771" i="7" l="1"/>
  <c r="F771" i="7" l="1"/>
  <c r="G771" i="7" s="1"/>
  <c r="H771" i="7" s="1"/>
  <c r="E772" i="7" l="1"/>
  <c r="F772" i="7" l="1"/>
  <c r="G772" i="7" s="1"/>
  <c r="H772" i="7" s="1"/>
  <c r="E773" i="7" l="1"/>
  <c r="F773" i="7" l="1"/>
  <c r="G773" i="7" s="1"/>
  <c r="H773" i="7" s="1"/>
  <c r="E774" i="7" l="1"/>
  <c r="F774" i="7" l="1"/>
  <c r="G774" i="7" s="1"/>
  <c r="H774" i="7" s="1"/>
  <c r="E775" i="7" l="1"/>
  <c r="F775" i="7" l="1"/>
  <c r="G775" i="7" s="1"/>
  <c r="H775" i="7" s="1"/>
  <c r="E776" i="7" l="1"/>
  <c r="F776" i="7" l="1"/>
  <c r="G776" i="7" s="1"/>
  <c r="H776" i="7" s="1"/>
  <c r="E777" i="7" l="1"/>
  <c r="F777" i="7" l="1"/>
  <c r="G777" i="7" s="1"/>
  <c r="H777" i="7" s="1"/>
  <c r="E778" i="7" l="1"/>
  <c r="F778" i="7" l="1"/>
  <c r="G778" i="7" s="1"/>
  <c r="H778" i="7" s="1"/>
  <c r="E779" i="7" l="1"/>
  <c r="F779" i="7" l="1"/>
  <c r="G779" i="7" s="1"/>
  <c r="H779" i="7" s="1"/>
  <c r="E780" i="7" l="1"/>
  <c r="F780" i="7" l="1"/>
  <c r="G780" i="7" s="1"/>
  <c r="H780" i="7" s="1"/>
  <c r="E781" i="7" l="1"/>
  <c r="F781" i="7" l="1"/>
  <c r="G781" i="7" s="1"/>
  <c r="H781" i="7" s="1"/>
  <c r="E782" i="7" l="1"/>
  <c r="F782" i="7" l="1"/>
  <c r="G782" i="7" s="1"/>
  <c r="H782" i="7" s="1"/>
  <c r="E783" i="7" l="1"/>
  <c r="F783" i="7" l="1"/>
  <c r="G783" i="7" s="1"/>
  <c r="H783" i="7" s="1"/>
  <c r="E784" i="7" l="1"/>
  <c r="F784" i="7" l="1"/>
  <c r="G784" i="7" s="1"/>
  <c r="H784" i="7" s="1"/>
  <c r="E785" i="7" l="1"/>
  <c r="F785" i="7" l="1"/>
  <c r="G785" i="7" s="1"/>
  <c r="H785" i="7" s="1"/>
  <c r="E786" i="7" l="1"/>
  <c r="F786" i="7" l="1"/>
  <c r="G786" i="7" s="1"/>
  <c r="H786" i="7" s="1"/>
  <c r="E787" i="7" l="1"/>
  <c r="F787" i="7" l="1"/>
  <c r="G787" i="7" s="1"/>
  <c r="H787" i="7" s="1"/>
  <c r="E788" i="7" l="1"/>
  <c r="F788" i="7" l="1"/>
  <c r="G788" i="7" s="1"/>
  <c r="H788" i="7" s="1"/>
  <c r="E789" i="7" l="1"/>
  <c r="F789" i="7" l="1"/>
  <c r="G789" i="7" s="1"/>
  <c r="H789" i="7" s="1"/>
  <c r="E790" i="7" l="1"/>
  <c r="F790" i="7" l="1"/>
  <c r="G790" i="7" s="1"/>
  <c r="H790" i="7" s="1"/>
  <c r="E791" i="7" l="1"/>
  <c r="F791" i="7" l="1"/>
  <c r="G791" i="7" s="1"/>
  <c r="H791" i="7" s="1"/>
  <c r="E792" i="7" l="1"/>
  <c r="F792" i="7" l="1"/>
  <c r="G792" i="7" s="1"/>
  <c r="H792" i="7" s="1"/>
  <c r="E793" i="7" l="1"/>
  <c r="F793" i="7" l="1"/>
  <c r="G793" i="7" s="1"/>
  <c r="H793" i="7" s="1"/>
  <c r="E794" i="7" l="1"/>
  <c r="F794" i="7" l="1"/>
  <c r="G794" i="7" s="1"/>
  <c r="H794" i="7" s="1"/>
  <c r="E795" i="7" l="1"/>
  <c r="F795" i="7" l="1"/>
  <c r="G795" i="7" s="1"/>
  <c r="H795" i="7" s="1"/>
  <c r="E796" i="7" l="1"/>
  <c r="F796" i="7" l="1"/>
  <c r="G796" i="7" s="1"/>
  <c r="H796" i="7" s="1"/>
  <c r="E797" i="7" l="1"/>
  <c r="F797" i="7" l="1"/>
  <c r="G797" i="7" s="1"/>
  <c r="H797" i="7" s="1"/>
  <c r="E798" i="7" l="1"/>
  <c r="F798" i="7" l="1"/>
  <c r="G798" i="7" s="1"/>
  <c r="H798" i="7" s="1"/>
  <c r="E799" i="7" l="1"/>
  <c r="F799" i="7" l="1"/>
  <c r="G799" i="7" s="1"/>
  <c r="H799" i="7" s="1"/>
  <c r="E800" i="7" l="1"/>
  <c r="F800" i="7" l="1"/>
  <c r="G800" i="7" s="1"/>
  <c r="H800" i="7" s="1"/>
  <c r="E801" i="7" l="1"/>
  <c r="F801" i="7" l="1"/>
  <c r="G801" i="7" s="1"/>
  <c r="H801" i="7" s="1"/>
  <c r="E802" i="7" l="1"/>
  <c r="F802" i="7" l="1"/>
  <c r="G802" i="7" s="1"/>
  <c r="H802" i="7" s="1"/>
  <c r="E803" i="7" l="1"/>
  <c r="F803" i="7" l="1"/>
  <c r="G803" i="7" s="1"/>
  <c r="H803" i="7" s="1"/>
  <c r="E804" i="7" l="1"/>
  <c r="F804" i="7" l="1"/>
  <c r="G804" i="7" s="1"/>
  <c r="H804" i="7" s="1"/>
  <c r="E805" i="7" l="1"/>
  <c r="F805" i="7" l="1"/>
  <c r="G805" i="7" s="1"/>
  <c r="H805" i="7" s="1"/>
  <c r="E806" i="7" l="1"/>
  <c r="F806" i="7" l="1"/>
  <c r="G806" i="7" s="1"/>
  <c r="H806" i="7" s="1"/>
  <c r="E807" i="7" l="1"/>
  <c r="F807" i="7" l="1"/>
  <c r="G807" i="7" s="1"/>
  <c r="H807" i="7" s="1"/>
  <c r="E808" i="7" l="1"/>
  <c r="F808" i="7" l="1"/>
  <c r="G808" i="7" s="1"/>
  <c r="H808" i="7" s="1"/>
  <c r="E809" i="7" l="1"/>
  <c r="F809" i="7" l="1"/>
  <c r="G809" i="7" s="1"/>
  <c r="H809" i="7" s="1"/>
  <c r="E810" i="7" l="1"/>
  <c r="F810" i="7" l="1"/>
  <c r="G810" i="7" s="1"/>
  <c r="H810" i="7" s="1"/>
  <c r="E811" i="7" l="1"/>
  <c r="F811" i="7" l="1"/>
  <c r="G811" i="7" s="1"/>
  <c r="H811" i="7" s="1"/>
  <c r="E812" i="7" l="1"/>
  <c r="F812" i="7" l="1"/>
  <c r="G812" i="7" s="1"/>
  <c r="H812" i="7" s="1"/>
  <c r="E813" i="7" l="1"/>
  <c r="F813" i="7" l="1"/>
  <c r="G813" i="7" s="1"/>
  <c r="H813" i="7" s="1"/>
  <c r="E814" i="7" l="1"/>
  <c r="F814" i="7" l="1"/>
  <c r="G814" i="7" s="1"/>
  <c r="H814" i="7" s="1"/>
  <c r="E815" i="7" l="1"/>
  <c r="F815" i="7" l="1"/>
  <c r="G815" i="7" s="1"/>
  <c r="H815" i="7" s="1"/>
  <c r="E816" i="7" l="1"/>
  <c r="F816" i="7" l="1"/>
  <c r="G816" i="7" s="1"/>
  <c r="H816" i="7" s="1"/>
  <c r="E817" i="7" l="1"/>
  <c r="F817" i="7" l="1"/>
  <c r="G817" i="7" s="1"/>
  <c r="H817" i="7" s="1"/>
  <c r="E818" i="7" l="1"/>
  <c r="F818" i="7" l="1"/>
  <c r="G818" i="7" s="1"/>
  <c r="H818" i="7" s="1"/>
  <c r="E819" i="7" l="1"/>
  <c r="F819" i="7" l="1"/>
  <c r="G819" i="7" s="1"/>
  <c r="H819" i="7" s="1"/>
  <c r="E820" i="7" l="1"/>
  <c r="F820" i="7" l="1"/>
  <c r="G820" i="7" s="1"/>
  <c r="H820" i="7" s="1"/>
  <c r="E821" i="7" l="1"/>
  <c r="F821" i="7" l="1"/>
  <c r="G821" i="7" s="1"/>
  <c r="H821" i="7" s="1"/>
  <c r="E822" i="7" l="1"/>
  <c r="F822" i="7" l="1"/>
  <c r="G822" i="7" s="1"/>
  <c r="H822" i="7" s="1"/>
  <c r="E823" i="7" l="1"/>
  <c r="F823" i="7" l="1"/>
  <c r="G823" i="7" s="1"/>
  <c r="H823" i="7" s="1"/>
  <c r="E824" i="7" l="1"/>
  <c r="F824" i="7" l="1"/>
  <c r="G824" i="7" s="1"/>
  <c r="H824" i="7" s="1"/>
  <c r="E825" i="7" l="1"/>
  <c r="F825" i="7" l="1"/>
  <c r="G825" i="7" s="1"/>
  <c r="H825" i="7" s="1"/>
  <c r="E826" i="7" l="1"/>
  <c r="F826" i="7" l="1"/>
  <c r="G826" i="7" s="1"/>
  <c r="H826" i="7" s="1"/>
  <c r="E827" i="7" l="1"/>
  <c r="F827" i="7" l="1"/>
  <c r="G827" i="7" s="1"/>
  <c r="H827" i="7" s="1"/>
  <c r="E828" i="7" l="1"/>
  <c r="F828" i="7" l="1"/>
  <c r="G828" i="7" s="1"/>
  <c r="H828" i="7" s="1"/>
  <c r="E829" i="7" l="1"/>
  <c r="F829" i="7" l="1"/>
  <c r="G829" i="7" s="1"/>
  <c r="H829" i="7" s="1"/>
  <c r="E830" i="7" l="1"/>
  <c r="F830" i="7" l="1"/>
  <c r="G830" i="7" s="1"/>
  <c r="H830" i="7" s="1"/>
  <c r="E831" i="7" l="1"/>
  <c r="F831" i="7" l="1"/>
  <c r="G831" i="7" s="1"/>
  <c r="H831" i="7" s="1"/>
  <c r="E832" i="7" l="1"/>
  <c r="F832" i="7" l="1"/>
  <c r="G832" i="7" s="1"/>
  <c r="H832" i="7" s="1"/>
  <c r="E833" i="7" l="1"/>
  <c r="F833" i="7" l="1"/>
  <c r="G833" i="7" s="1"/>
  <c r="H833" i="7" s="1"/>
  <c r="E834" i="7" l="1"/>
  <c r="F834" i="7" l="1"/>
  <c r="G834" i="7" s="1"/>
  <c r="H834" i="7" s="1"/>
  <c r="E835" i="7" l="1"/>
  <c r="F835" i="7" l="1"/>
  <c r="G835" i="7" s="1"/>
  <c r="H835" i="7" s="1"/>
  <c r="E836" i="7" l="1"/>
  <c r="F836" i="7" l="1"/>
  <c r="G836" i="7" s="1"/>
  <c r="H836" i="7" s="1"/>
  <c r="E837" i="7" l="1"/>
  <c r="F837" i="7" l="1"/>
  <c r="G837" i="7" s="1"/>
  <c r="H837" i="7" s="1"/>
  <c r="E838" i="7" l="1"/>
  <c r="F838" i="7" l="1"/>
  <c r="G838" i="7" s="1"/>
  <c r="H838" i="7" s="1"/>
  <c r="E839" i="7" l="1"/>
  <c r="F839" i="7" l="1"/>
  <c r="G839" i="7" s="1"/>
  <c r="H839" i="7" s="1"/>
  <c r="E840" i="7" l="1"/>
  <c r="F840" i="7" l="1"/>
  <c r="G840" i="7" s="1"/>
  <c r="H840" i="7" s="1"/>
  <c r="E841" i="7" l="1"/>
  <c r="F841" i="7" l="1"/>
  <c r="G841" i="7" s="1"/>
  <c r="H841" i="7" s="1"/>
  <c r="E842" i="7" l="1"/>
  <c r="F842" i="7" l="1"/>
  <c r="G842" i="7" s="1"/>
  <c r="H842" i="7" s="1"/>
  <c r="E843" i="7" l="1"/>
  <c r="F843" i="7" l="1"/>
  <c r="G843" i="7" s="1"/>
  <c r="H843" i="7" s="1"/>
  <c r="E844" i="7" l="1"/>
  <c r="F844" i="7" l="1"/>
  <c r="G844" i="7" s="1"/>
  <c r="H844" i="7" s="1"/>
  <c r="E845" i="7" l="1"/>
  <c r="F845" i="7" l="1"/>
  <c r="G845" i="7" s="1"/>
  <c r="H845" i="7" s="1"/>
  <c r="E846" i="7" l="1"/>
  <c r="F846" i="7" l="1"/>
  <c r="G846" i="7" s="1"/>
  <c r="H846" i="7" s="1"/>
  <c r="E847" i="7" l="1"/>
  <c r="F847" i="7" l="1"/>
  <c r="G847" i="7" s="1"/>
  <c r="H847" i="7" s="1"/>
  <c r="E848" i="7" l="1"/>
  <c r="F848" i="7" l="1"/>
  <c r="G848" i="7" s="1"/>
  <c r="H848" i="7" s="1"/>
  <c r="E849" i="7" l="1"/>
  <c r="F849" i="7" l="1"/>
  <c r="G849" i="7" s="1"/>
  <c r="H849" i="7" s="1"/>
  <c r="E850" i="7" l="1"/>
  <c r="F850" i="7" l="1"/>
  <c r="G850" i="7" s="1"/>
  <c r="H850" i="7" s="1"/>
  <c r="E851" i="7" l="1"/>
  <c r="F851" i="7" l="1"/>
  <c r="G851" i="7" s="1"/>
  <c r="H851" i="7" s="1"/>
  <c r="E852" i="7" l="1"/>
  <c r="F852" i="7" l="1"/>
  <c r="G852" i="7" s="1"/>
  <c r="H852" i="7" s="1"/>
  <c r="E853" i="7" l="1"/>
  <c r="F853" i="7" l="1"/>
  <c r="G853" i="7" s="1"/>
  <c r="H853" i="7" s="1"/>
  <c r="E854" i="7" l="1"/>
  <c r="F854" i="7" l="1"/>
  <c r="G854" i="7" s="1"/>
  <c r="H854" i="7" s="1"/>
  <c r="E855" i="7" l="1"/>
  <c r="F855" i="7" l="1"/>
  <c r="G855" i="7" s="1"/>
  <c r="H855" i="7" s="1"/>
  <c r="E856" i="7" l="1"/>
  <c r="F856" i="7" l="1"/>
  <c r="G856" i="7" s="1"/>
  <c r="H856" i="7" s="1"/>
  <c r="E857" i="7" l="1"/>
  <c r="F857" i="7" l="1"/>
  <c r="G857" i="7" s="1"/>
  <c r="H857" i="7" s="1"/>
  <c r="E858" i="7" l="1"/>
  <c r="F858" i="7" l="1"/>
  <c r="G858" i="7" s="1"/>
  <c r="H858" i="7" s="1"/>
  <c r="E859" i="7" l="1"/>
  <c r="F859" i="7" l="1"/>
  <c r="G859" i="7" s="1"/>
  <c r="H859" i="7" s="1"/>
  <c r="E860" i="7" l="1"/>
  <c r="F860" i="7" l="1"/>
  <c r="G860" i="7" s="1"/>
  <c r="H860" i="7" s="1"/>
  <c r="E861" i="7" l="1"/>
  <c r="F861" i="7" l="1"/>
  <c r="G861" i="7" s="1"/>
  <c r="H861" i="7" s="1"/>
  <c r="E862" i="7" l="1"/>
  <c r="F862" i="7" l="1"/>
  <c r="G862" i="7" s="1"/>
  <c r="H862" i="7" s="1"/>
  <c r="E863" i="7" l="1"/>
  <c r="F863" i="7" l="1"/>
  <c r="G863" i="7" s="1"/>
  <c r="H863" i="7" s="1"/>
  <c r="E864" i="7" l="1"/>
  <c r="F864" i="7" l="1"/>
  <c r="G864" i="7" s="1"/>
  <c r="H864" i="7" s="1"/>
  <c r="E865" i="7" l="1"/>
  <c r="F865" i="7" l="1"/>
  <c r="G865" i="7" s="1"/>
  <c r="H865" i="7" s="1"/>
  <c r="E866" i="7" l="1"/>
  <c r="F866" i="7" l="1"/>
  <c r="G866" i="7" s="1"/>
  <c r="H866" i="7" s="1"/>
  <c r="E867" i="7" l="1"/>
  <c r="F867" i="7" l="1"/>
  <c r="G867" i="7" s="1"/>
  <c r="H867" i="7" s="1"/>
  <c r="E868" i="7" l="1"/>
  <c r="F868" i="7" l="1"/>
  <c r="G868" i="7" s="1"/>
  <c r="H868" i="7" s="1"/>
  <c r="E869" i="7" l="1"/>
  <c r="F869" i="7" l="1"/>
  <c r="G869" i="7" s="1"/>
  <c r="H869" i="7" s="1"/>
  <c r="E870" i="7" l="1"/>
  <c r="F870" i="7" l="1"/>
  <c r="G870" i="7" s="1"/>
  <c r="H870" i="7" s="1"/>
  <c r="E871" i="7" l="1"/>
  <c r="F871" i="7" l="1"/>
  <c r="G871" i="7" s="1"/>
  <c r="H871" i="7" s="1"/>
  <c r="E872" i="7" l="1"/>
  <c r="F872" i="7" l="1"/>
  <c r="G872" i="7" s="1"/>
  <c r="H872" i="7" s="1"/>
  <c r="E873" i="7" l="1"/>
  <c r="F873" i="7" l="1"/>
  <c r="G873" i="7" s="1"/>
  <c r="H873" i="7" s="1"/>
  <c r="E874" i="7" l="1"/>
  <c r="F874" i="7" l="1"/>
  <c r="G874" i="7" s="1"/>
  <c r="H874" i="7" s="1"/>
  <c r="E875" i="7" l="1"/>
  <c r="F875" i="7" l="1"/>
  <c r="G875" i="7" s="1"/>
  <c r="H875" i="7" s="1"/>
  <c r="E876" i="7" l="1"/>
  <c r="F876" i="7" l="1"/>
  <c r="G876" i="7" s="1"/>
  <c r="H876" i="7" s="1"/>
  <c r="E877" i="7" l="1"/>
  <c r="F877" i="7" l="1"/>
  <c r="G877" i="7" s="1"/>
  <c r="H877" i="7" s="1"/>
  <c r="E878" i="7" l="1"/>
  <c r="F878" i="7" l="1"/>
  <c r="G878" i="7" s="1"/>
  <c r="H878" i="7" s="1"/>
  <c r="E879" i="7" l="1"/>
  <c r="F879" i="7" l="1"/>
  <c r="G879" i="7" s="1"/>
  <c r="H879" i="7" s="1"/>
  <c r="E880" i="7" l="1"/>
  <c r="F880" i="7" l="1"/>
  <c r="G880" i="7" s="1"/>
  <c r="H880" i="7" s="1"/>
  <c r="E881" i="7" l="1"/>
  <c r="F881" i="7" l="1"/>
  <c r="G881" i="7" s="1"/>
  <c r="H881" i="7" s="1"/>
  <c r="E882" i="7" l="1"/>
  <c r="F882" i="7" l="1"/>
  <c r="G882" i="7" s="1"/>
  <c r="H882" i="7" s="1"/>
  <c r="E883" i="7" l="1"/>
  <c r="F883" i="7" l="1"/>
  <c r="G883" i="7" s="1"/>
  <c r="H883" i="7" s="1"/>
  <c r="E884" i="7" l="1"/>
  <c r="F884" i="7" l="1"/>
  <c r="G884" i="7" s="1"/>
  <c r="H884" i="7" s="1"/>
  <c r="E885" i="7" l="1"/>
  <c r="F885" i="7" l="1"/>
  <c r="G885" i="7" s="1"/>
  <c r="H885" i="7" s="1"/>
  <c r="E886" i="7" l="1"/>
  <c r="F886" i="7" l="1"/>
  <c r="G886" i="7" s="1"/>
  <c r="H886" i="7" s="1"/>
  <c r="E887" i="7" l="1"/>
  <c r="F887" i="7" l="1"/>
  <c r="G887" i="7" s="1"/>
  <c r="H887" i="7" s="1"/>
  <c r="E888" i="7" l="1"/>
  <c r="F888" i="7" l="1"/>
  <c r="G888" i="7" s="1"/>
  <c r="H888" i="7" s="1"/>
  <c r="E889" i="7" l="1"/>
  <c r="F889" i="7" l="1"/>
  <c r="G889" i="7" s="1"/>
  <c r="H889" i="7" s="1"/>
  <c r="E890" i="7" l="1"/>
  <c r="F890" i="7" l="1"/>
  <c r="G890" i="7" s="1"/>
  <c r="H890" i="7" s="1"/>
  <c r="E891" i="7" l="1"/>
  <c r="F891" i="7" l="1"/>
  <c r="G891" i="7" s="1"/>
  <c r="H891" i="7" s="1"/>
  <c r="E892" i="7" l="1"/>
  <c r="F892" i="7" l="1"/>
  <c r="G892" i="7" s="1"/>
  <c r="H892" i="7" s="1"/>
  <c r="E893" i="7" l="1"/>
  <c r="F893" i="7" l="1"/>
  <c r="G893" i="7" s="1"/>
  <c r="H893" i="7" s="1"/>
  <c r="E894" i="7" l="1"/>
  <c r="F894" i="7" l="1"/>
  <c r="G894" i="7" s="1"/>
  <c r="H894" i="7" s="1"/>
  <c r="E895" i="7" l="1"/>
  <c r="F895" i="7" l="1"/>
  <c r="G895" i="7" s="1"/>
  <c r="H895" i="7" s="1"/>
  <c r="E896" i="7" l="1"/>
  <c r="F896" i="7" l="1"/>
  <c r="G896" i="7" s="1"/>
  <c r="H896" i="7" s="1"/>
  <c r="E897" i="7" l="1"/>
  <c r="F897" i="7" l="1"/>
  <c r="G897" i="7" s="1"/>
  <c r="H897" i="7" s="1"/>
  <c r="E898" i="7" l="1"/>
  <c r="F898" i="7" l="1"/>
  <c r="G898" i="7" s="1"/>
  <c r="H898" i="7" s="1"/>
  <c r="E899" i="7" l="1"/>
  <c r="F899" i="7" l="1"/>
  <c r="G899" i="7" s="1"/>
  <c r="H899" i="7" s="1"/>
  <c r="E900" i="7" l="1"/>
  <c r="F900" i="7" l="1"/>
  <c r="G900" i="7" s="1"/>
  <c r="H900" i="7" s="1"/>
  <c r="E901" i="7" l="1"/>
  <c r="F901" i="7" l="1"/>
  <c r="G901" i="7" s="1"/>
  <c r="H901" i="7" s="1"/>
  <c r="E902" i="7" l="1"/>
  <c r="F902" i="7" l="1"/>
  <c r="G902" i="7" s="1"/>
  <c r="H902" i="7" s="1"/>
  <c r="E903" i="7" l="1"/>
  <c r="F903" i="7" l="1"/>
  <c r="G903" i="7" s="1"/>
  <c r="H903" i="7" s="1"/>
  <c r="E904" i="7" l="1"/>
  <c r="F904" i="7" l="1"/>
  <c r="G904" i="7" s="1"/>
  <c r="H904" i="7" s="1"/>
  <c r="E905" i="7" l="1"/>
  <c r="F905" i="7" l="1"/>
  <c r="G905" i="7" s="1"/>
  <c r="H905" i="7" s="1"/>
  <c r="E906" i="7" l="1"/>
  <c r="F906" i="7" l="1"/>
  <c r="G906" i="7" s="1"/>
  <c r="H906" i="7" s="1"/>
  <c r="E907" i="7" l="1"/>
  <c r="F907" i="7" l="1"/>
  <c r="G907" i="7" s="1"/>
  <c r="H907" i="7" s="1"/>
  <c r="E908" i="7" l="1"/>
  <c r="F908" i="7" l="1"/>
  <c r="G908" i="7" s="1"/>
  <c r="H908" i="7" s="1"/>
  <c r="E909" i="7" l="1"/>
  <c r="F909" i="7" l="1"/>
  <c r="G909" i="7" s="1"/>
  <c r="H909" i="7" s="1"/>
  <c r="E910" i="7" l="1"/>
  <c r="F910" i="7" l="1"/>
  <c r="G910" i="7" s="1"/>
  <c r="H910" i="7" s="1"/>
  <c r="E911" i="7" l="1"/>
  <c r="F911" i="7" l="1"/>
  <c r="G911" i="7" s="1"/>
  <c r="H911" i="7" s="1"/>
  <c r="E912" i="7" l="1"/>
  <c r="F912" i="7" l="1"/>
  <c r="G912" i="7" s="1"/>
  <c r="H912" i="7" s="1"/>
  <c r="E913" i="7" l="1"/>
  <c r="F913" i="7" l="1"/>
  <c r="G913" i="7" s="1"/>
  <c r="H913" i="7" s="1"/>
  <c r="E914" i="7" l="1"/>
  <c r="F914" i="7" l="1"/>
  <c r="G914" i="7" s="1"/>
  <c r="H914" i="7" s="1"/>
  <c r="E915" i="7" l="1"/>
  <c r="F915" i="7" l="1"/>
  <c r="G915" i="7" s="1"/>
  <c r="H915" i="7" s="1"/>
  <c r="E916" i="7" l="1"/>
  <c r="F916" i="7" l="1"/>
  <c r="G916" i="7" s="1"/>
  <c r="H916" i="7" s="1"/>
  <c r="E917" i="7" l="1"/>
  <c r="F917" i="7" l="1"/>
  <c r="G917" i="7" s="1"/>
  <c r="H917" i="7" s="1"/>
  <c r="E918" i="7" l="1"/>
  <c r="F918" i="7" l="1"/>
  <c r="G918" i="7" s="1"/>
  <c r="H918" i="7" s="1"/>
  <c r="E919" i="7" l="1"/>
  <c r="F919" i="7" l="1"/>
  <c r="G919" i="7" s="1"/>
  <c r="H919" i="7" s="1"/>
  <c r="E920" i="7" l="1"/>
  <c r="F920" i="7" l="1"/>
  <c r="G920" i="7" s="1"/>
  <c r="H920" i="7" s="1"/>
  <c r="E921" i="7" l="1"/>
  <c r="F921" i="7" l="1"/>
  <c r="G921" i="7" s="1"/>
  <c r="H921" i="7" s="1"/>
  <c r="E922" i="7" l="1"/>
  <c r="F922" i="7" l="1"/>
  <c r="G922" i="7" s="1"/>
  <c r="H922" i="7" s="1"/>
  <c r="E923" i="7" l="1"/>
  <c r="F923" i="7" l="1"/>
  <c r="G923" i="7" s="1"/>
  <c r="H923" i="7" s="1"/>
  <c r="E924" i="7" l="1"/>
  <c r="F924" i="7" l="1"/>
  <c r="G924" i="7" s="1"/>
  <c r="H924" i="7" s="1"/>
  <c r="E925" i="7" l="1"/>
  <c r="F925" i="7" l="1"/>
  <c r="G925" i="7" s="1"/>
  <c r="H925" i="7" s="1"/>
  <c r="E926" i="7" l="1"/>
  <c r="F926" i="7" l="1"/>
  <c r="G926" i="7" s="1"/>
  <c r="H926" i="7" s="1"/>
  <c r="E927" i="7" l="1"/>
  <c r="F927" i="7" l="1"/>
  <c r="G927" i="7" s="1"/>
  <c r="H927" i="7" s="1"/>
  <c r="E928" i="7" l="1"/>
  <c r="F928" i="7" l="1"/>
  <c r="G928" i="7" s="1"/>
  <c r="H928" i="7" s="1"/>
  <c r="E929" i="7" l="1"/>
  <c r="F929" i="7" l="1"/>
  <c r="G929" i="7" s="1"/>
  <c r="H929" i="7" s="1"/>
  <c r="E930" i="7" l="1"/>
  <c r="F930" i="7" l="1"/>
  <c r="G930" i="7" s="1"/>
  <c r="H930" i="7" s="1"/>
  <c r="E931" i="7" l="1"/>
  <c r="F931" i="7" l="1"/>
  <c r="G931" i="7" s="1"/>
  <c r="H931" i="7" s="1"/>
  <c r="E932" i="7" l="1"/>
  <c r="F932" i="7" l="1"/>
  <c r="G932" i="7" s="1"/>
  <c r="H932" i="7" s="1"/>
  <c r="E933" i="7" l="1"/>
  <c r="F933" i="7" l="1"/>
  <c r="G933" i="7" s="1"/>
  <c r="H933" i="7" s="1"/>
  <c r="E934" i="7" l="1"/>
  <c r="F934" i="7" l="1"/>
  <c r="G934" i="7" s="1"/>
  <c r="H934" i="7" s="1"/>
  <c r="E935" i="7" l="1"/>
  <c r="F935" i="7" l="1"/>
  <c r="G935" i="7" s="1"/>
  <c r="H935" i="7" s="1"/>
  <c r="E936" i="7" l="1"/>
  <c r="F936" i="7" l="1"/>
  <c r="G936" i="7" s="1"/>
  <c r="H936" i="7" s="1"/>
  <c r="E937" i="7" l="1"/>
  <c r="F937" i="7" l="1"/>
  <c r="G937" i="7" s="1"/>
  <c r="H937" i="7" s="1"/>
  <c r="E938" i="7" l="1"/>
  <c r="F938" i="7" l="1"/>
  <c r="G938" i="7" s="1"/>
  <c r="H938" i="7" s="1"/>
  <c r="E939" i="7" l="1"/>
  <c r="F939" i="7" l="1"/>
  <c r="G939" i="7" s="1"/>
  <c r="H939" i="7" s="1"/>
  <c r="E940" i="7" l="1"/>
  <c r="F940" i="7" l="1"/>
  <c r="G940" i="7" s="1"/>
  <c r="H940" i="7" s="1"/>
  <c r="E941" i="7" l="1"/>
  <c r="F941" i="7" l="1"/>
  <c r="G941" i="7" s="1"/>
  <c r="H941" i="7" s="1"/>
  <c r="E942" i="7" l="1"/>
  <c r="F942" i="7" l="1"/>
  <c r="G942" i="7" s="1"/>
  <c r="H942" i="7" s="1"/>
  <c r="E943" i="7" l="1"/>
  <c r="F943" i="7" l="1"/>
  <c r="G943" i="7" s="1"/>
  <c r="H943" i="7" s="1"/>
  <c r="E944" i="7" l="1"/>
  <c r="F944" i="7" l="1"/>
  <c r="G944" i="7" s="1"/>
  <c r="H944" i="7" s="1"/>
  <c r="E945" i="7" l="1"/>
  <c r="F945" i="7" l="1"/>
  <c r="G945" i="7" s="1"/>
  <c r="H945" i="7" s="1"/>
  <c r="E946" i="7" l="1"/>
  <c r="F946" i="7" l="1"/>
  <c r="G946" i="7" s="1"/>
  <c r="H946" i="7" s="1"/>
  <c r="E947" i="7" l="1"/>
  <c r="F947" i="7" l="1"/>
  <c r="G947" i="7" s="1"/>
  <c r="H947" i="7" s="1"/>
  <c r="E948" i="7" l="1"/>
  <c r="F948" i="7" l="1"/>
  <c r="G948" i="7" s="1"/>
  <c r="H948" i="7" s="1"/>
  <c r="E949" i="7" l="1"/>
  <c r="F949" i="7" l="1"/>
  <c r="G949" i="7" s="1"/>
  <c r="H949" i="7" s="1"/>
  <c r="E950" i="7" l="1"/>
  <c r="F950" i="7" l="1"/>
  <c r="G950" i="7" s="1"/>
  <c r="H950" i="7" s="1"/>
  <c r="E951" i="7" l="1"/>
  <c r="F951" i="7" l="1"/>
  <c r="G951" i="7" s="1"/>
  <c r="H951" i="7" s="1"/>
  <c r="E952" i="7" l="1"/>
  <c r="F952" i="7" l="1"/>
  <c r="G952" i="7" s="1"/>
  <c r="H952" i="7" s="1"/>
  <c r="E953" i="7" l="1"/>
  <c r="F953" i="7" l="1"/>
  <c r="G953" i="7" s="1"/>
  <c r="H953" i="7" s="1"/>
  <c r="E954" i="7" l="1"/>
  <c r="F954" i="7" l="1"/>
  <c r="G954" i="7" s="1"/>
  <c r="H954" i="7" s="1"/>
  <c r="E955" i="7" l="1"/>
  <c r="F955" i="7" l="1"/>
  <c r="G955" i="7" s="1"/>
  <c r="H955" i="7" s="1"/>
  <c r="E956" i="7" l="1"/>
  <c r="F956" i="7" l="1"/>
  <c r="G956" i="7" s="1"/>
  <c r="H956" i="7" s="1"/>
  <c r="E957" i="7" l="1"/>
  <c r="F957" i="7" l="1"/>
  <c r="G957" i="7" s="1"/>
  <c r="H957" i="7" s="1"/>
  <c r="E958" i="7" l="1"/>
  <c r="F958" i="7" l="1"/>
  <c r="G958" i="7" s="1"/>
  <c r="H958" i="7" s="1"/>
  <c r="E959" i="7" l="1"/>
  <c r="F959" i="7" l="1"/>
  <c r="G959" i="7" s="1"/>
  <c r="H959" i="7" s="1"/>
  <c r="E960" i="7" l="1"/>
  <c r="F960" i="7" l="1"/>
  <c r="G960" i="7" s="1"/>
  <c r="H960" i="7" s="1"/>
  <c r="E961" i="7" l="1"/>
  <c r="F961" i="7" l="1"/>
  <c r="G961" i="7" s="1"/>
  <c r="H961" i="7" s="1"/>
  <c r="E962" i="7" l="1"/>
  <c r="F962" i="7" l="1"/>
  <c r="G962" i="7" s="1"/>
  <c r="H962" i="7" s="1"/>
  <c r="E963" i="7" l="1"/>
  <c r="F963" i="7" l="1"/>
  <c r="G963" i="7" s="1"/>
  <c r="H963" i="7" s="1"/>
  <c r="E964" i="7" l="1"/>
  <c r="F964" i="7" l="1"/>
  <c r="G964" i="7" s="1"/>
  <c r="H964" i="7" s="1"/>
  <c r="E965" i="7" l="1"/>
  <c r="F965" i="7" l="1"/>
  <c r="G965" i="7" s="1"/>
  <c r="H965" i="7" s="1"/>
  <c r="E966" i="7" l="1"/>
  <c r="F966" i="7" l="1"/>
  <c r="G966" i="7" s="1"/>
  <c r="H966" i="7" s="1"/>
  <c r="E967" i="7" l="1"/>
  <c r="F967" i="7" l="1"/>
  <c r="G967" i="7" s="1"/>
  <c r="H967" i="7" s="1"/>
  <c r="E968" i="7" l="1"/>
  <c r="F968" i="7" l="1"/>
  <c r="G968" i="7" s="1"/>
  <c r="H968" i="7" s="1"/>
  <c r="E969" i="7" l="1"/>
  <c r="F969" i="7" l="1"/>
  <c r="G969" i="7" s="1"/>
  <c r="H969" i="7" s="1"/>
  <c r="E970" i="7" l="1"/>
  <c r="F970" i="7" l="1"/>
  <c r="G970" i="7" s="1"/>
  <c r="H970" i="7" s="1"/>
  <c r="E971" i="7" l="1"/>
  <c r="F971" i="7" l="1"/>
  <c r="G971" i="7" s="1"/>
  <c r="H971" i="7" s="1"/>
  <c r="E972" i="7" l="1"/>
  <c r="F972" i="7" l="1"/>
  <c r="G972" i="7" s="1"/>
  <c r="H972" i="7" s="1"/>
  <c r="E973" i="7" l="1"/>
  <c r="F973" i="7" l="1"/>
  <c r="G973" i="7" s="1"/>
  <c r="H973" i="7" s="1"/>
  <c r="E974" i="7" l="1"/>
  <c r="F974" i="7" l="1"/>
  <c r="G974" i="7" s="1"/>
  <c r="H974" i="7" s="1"/>
  <c r="E975" i="7" l="1"/>
  <c r="F975" i="7" l="1"/>
  <c r="G975" i="7" s="1"/>
  <c r="H975" i="7" s="1"/>
  <c r="E976" i="7" l="1"/>
  <c r="F976" i="7" l="1"/>
  <c r="G976" i="7" s="1"/>
  <c r="H976" i="7" s="1"/>
  <c r="E977" i="7" l="1"/>
  <c r="F977" i="7" l="1"/>
  <c r="G977" i="7" s="1"/>
  <c r="H977" i="7" s="1"/>
  <c r="E978" i="7" l="1"/>
  <c r="F978" i="7" l="1"/>
  <c r="G978" i="7" s="1"/>
  <c r="H978" i="7" s="1"/>
  <c r="E979" i="7" l="1"/>
  <c r="F979" i="7" l="1"/>
  <c r="G979" i="7" s="1"/>
  <c r="H979" i="7" s="1"/>
  <c r="E980" i="7" l="1"/>
  <c r="F980" i="7" l="1"/>
  <c r="G980" i="7" s="1"/>
  <c r="H980" i="7" s="1"/>
  <c r="E981" i="7" l="1"/>
  <c r="F981" i="7" l="1"/>
  <c r="G981" i="7" s="1"/>
  <c r="H981" i="7" s="1"/>
  <c r="E982" i="7" l="1"/>
  <c r="F982" i="7" l="1"/>
  <c r="G982" i="7" s="1"/>
  <c r="H982" i="7" s="1"/>
  <c r="E983" i="7" l="1"/>
  <c r="F983" i="7" l="1"/>
  <c r="G983" i="7" s="1"/>
  <c r="H983" i="7" s="1"/>
  <c r="E984" i="7" l="1"/>
  <c r="F984" i="7" l="1"/>
  <c r="G984" i="7" s="1"/>
  <c r="H984" i="7" s="1"/>
  <c r="E985" i="7" l="1"/>
  <c r="F985" i="7" l="1"/>
  <c r="G985" i="7" s="1"/>
  <c r="H985" i="7" s="1"/>
  <c r="E986" i="7" l="1"/>
  <c r="F986" i="7" l="1"/>
  <c r="G986" i="7" s="1"/>
  <c r="H986" i="7" s="1"/>
  <c r="E987" i="7" l="1"/>
  <c r="F987" i="7" l="1"/>
  <c r="G987" i="7" s="1"/>
  <c r="H987" i="7" s="1"/>
  <c r="E988" i="7" l="1"/>
  <c r="F988" i="7" l="1"/>
  <c r="G988" i="7" s="1"/>
  <c r="H988" i="7" s="1"/>
  <c r="E989" i="7" l="1"/>
  <c r="F989" i="7" l="1"/>
  <c r="G989" i="7" s="1"/>
  <c r="H989" i="7" s="1"/>
  <c r="E990" i="7" l="1"/>
  <c r="F990" i="7" l="1"/>
  <c r="G990" i="7" s="1"/>
  <c r="H990" i="7" s="1"/>
  <c r="E991" i="7" l="1"/>
  <c r="F991" i="7" l="1"/>
  <c r="G991" i="7" s="1"/>
  <c r="H991" i="7" s="1"/>
  <c r="E992" i="7" l="1"/>
  <c r="F992" i="7" l="1"/>
  <c r="G992" i="7" s="1"/>
  <c r="H992" i="7" s="1"/>
  <c r="E993" i="7" l="1"/>
  <c r="F993" i="7" l="1"/>
  <c r="G993" i="7" s="1"/>
  <c r="H993" i="7" s="1"/>
  <c r="E994" i="7" l="1"/>
  <c r="F994" i="7" l="1"/>
  <c r="G994" i="7" s="1"/>
  <c r="H994" i="7" s="1"/>
  <c r="E995" i="7" l="1"/>
  <c r="F995" i="7" l="1"/>
  <c r="G995" i="7" s="1"/>
  <c r="H995" i="7" s="1"/>
  <c r="E996" i="7" l="1"/>
  <c r="F996" i="7" l="1"/>
  <c r="G996" i="7" s="1"/>
  <c r="H996" i="7" s="1"/>
  <c r="E997" i="7" l="1"/>
  <c r="F997" i="7" l="1"/>
  <c r="G997" i="7" s="1"/>
  <c r="H997" i="7" s="1"/>
  <c r="E998" i="7" l="1"/>
  <c r="F998" i="7" l="1"/>
  <c r="G998" i="7" s="1"/>
  <c r="H998" i="7" s="1"/>
  <c r="E999" i="7" l="1"/>
  <c r="F999" i="7" l="1"/>
  <c r="G999" i="7" s="1"/>
  <c r="H999" i="7" s="1"/>
  <c r="E1000" i="7" l="1"/>
  <c r="F1000" i="7" l="1"/>
  <c r="G1000" i="7" s="1"/>
  <c r="H1000" i="7" s="1"/>
  <c r="E1001" i="7" l="1"/>
  <c r="F1001" i="7" l="1"/>
  <c r="G1001" i="7" s="1"/>
  <c r="H1001" i="7" s="1"/>
  <c r="E1002" i="7" l="1"/>
  <c r="F1002" i="7" l="1"/>
  <c r="G1002" i="7" s="1"/>
  <c r="H1002" i="7" s="1"/>
  <c r="E1003" i="7" l="1"/>
  <c r="F1003" i="7" l="1"/>
  <c r="G1003" i="7" s="1"/>
  <c r="H1003" i="7" s="1"/>
  <c r="E1004" i="7" l="1"/>
  <c r="F1004" i="7" l="1"/>
  <c r="G1004" i="7" s="1"/>
  <c r="H1004" i="7" s="1"/>
  <c r="E1005" i="7" l="1"/>
  <c r="F1005" i="7" l="1"/>
  <c r="G1005" i="7" s="1"/>
  <c r="H1005" i="7" s="1"/>
  <c r="E1006" i="7" l="1"/>
  <c r="F1006" i="7" l="1"/>
  <c r="G1006" i="7" s="1"/>
  <c r="H1006" i="7" s="1"/>
  <c r="E1007" i="7" l="1"/>
  <c r="F1007" i="7" l="1"/>
  <c r="G1007" i="7" s="1"/>
  <c r="H1007" i="7" s="1"/>
  <c r="E1008" i="7" l="1"/>
  <c r="F1008" i="7" l="1"/>
  <c r="G1008" i="7" s="1"/>
  <c r="H1008" i="7" s="1"/>
  <c r="E1009" i="7" l="1"/>
  <c r="F1009" i="7" l="1"/>
  <c r="G1009" i="7" s="1"/>
  <c r="H1009" i="7" s="1"/>
  <c r="E1010" i="7" l="1"/>
  <c r="F1010" i="7" l="1"/>
  <c r="G1010" i="7" s="1"/>
  <c r="H1010" i="7" s="1"/>
  <c r="E1011" i="7" l="1"/>
  <c r="F1011" i="7" l="1"/>
  <c r="G1011" i="7" s="1"/>
  <c r="H1011" i="7" s="1"/>
  <c r="E1012" i="7" l="1"/>
  <c r="F1012" i="7" l="1"/>
  <c r="G1012" i="7" s="1"/>
  <c r="H1012" i="7" s="1"/>
  <c r="E1013" i="7" l="1"/>
  <c r="F1013" i="7" l="1"/>
  <c r="G1013" i="7" s="1"/>
  <c r="H1013" i="7" s="1"/>
  <c r="E1014" i="7" l="1"/>
  <c r="F1014" i="7" l="1"/>
  <c r="G1014" i="7" s="1"/>
  <c r="H1014" i="7" s="1"/>
  <c r="E1015" i="7" l="1"/>
  <c r="F1015" i="7" l="1"/>
  <c r="G1015" i="7" s="1"/>
  <c r="H1015" i="7" s="1"/>
  <c r="E1016" i="7" l="1"/>
  <c r="F1016" i="7" l="1"/>
  <c r="G1016" i="7" s="1"/>
  <c r="H1016" i="7" s="1"/>
  <c r="E1017" i="7" l="1"/>
  <c r="F1017" i="7" l="1"/>
  <c r="G1017" i="7" s="1"/>
  <c r="H1017" i="7" s="1"/>
  <c r="E1018" i="7" l="1"/>
  <c r="F1018" i="7" l="1"/>
  <c r="G1018" i="7" s="1"/>
  <c r="H1018" i="7" s="1"/>
  <c r="E1019" i="7" l="1"/>
  <c r="F1019" i="7" l="1"/>
  <c r="G1019" i="7" s="1"/>
  <c r="H1019" i="7" s="1"/>
  <c r="E1020" i="7" l="1"/>
  <c r="F1020" i="7" l="1"/>
  <c r="G1020" i="7" s="1"/>
  <c r="H1020" i="7" s="1"/>
  <c r="E1021" i="7" l="1"/>
  <c r="F1021" i="7" l="1"/>
  <c r="G1021" i="7" s="1"/>
  <c r="H1021" i="7" s="1"/>
  <c r="E1022" i="7" l="1"/>
  <c r="F1022" i="7" l="1"/>
  <c r="G1022" i="7" s="1"/>
  <c r="H1022" i="7" s="1"/>
  <c r="E1023" i="7" l="1"/>
  <c r="F1023" i="7" l="1"/>
  <c r="G1023" i="7" s="1"/>
  <c r="H1023" i="7" s="1"/>
  <c r="E1024" i="7" l="1"/>
  <c r="F1024" i="7" l="1"/>
  <c r="G1024" i="7" s="1"/>
  <c r="H1024" i="7" s="1"/>
  <c r="E1025" i="7" l="1"/>
  <c r="F1025" i="7" l="1"/>
  <c r="G1025" i="7" s="1"/>
  <c r="H1025" i="7" s="1"/>
  <c r="E1026" i="7" l="1"/>
  <c r="F1026" i="7" l="1"/>
  <c r="G1026" i="7" s="1"/>
  <c r="H1026" i="7" s="1"/>
  <c r="E1027" i="7" l="1"/>
  <c r="F1027" i="7" l="1"/>
  <c r="G1027" i="7" s="1"/>
  <c r="H1027" i="7" s="1"/>
  <c r="E1028" i="7" l="1"/>
  <c r="F1028" i="7" l="1"/>
  <c r="G1028" i="7" s="1"/>
  <c r="H1028" i="7" s="1"/>
  <c r="E1029" i="7" l="1"/>
  <c r="F1029" i="7" l="1"/>
  <c r="G1029" i="7" s="1"/>
  <c r="H1029" i="7" s="1"/>
  <c r="E1030" i="7" l="1"/>
  <c r="F1030" i="7" l="1"/>
  <c r="G1030" i="7" s="1"/>
  <c r="H1030" i="7" s="1"/>
  <c r="E1031" i="7" l="1"/>
  <c r="F1031" i="7" l="1"/>
  <c r="G1031" i="7" s="1"/>
  <c r="H1031" i="7" s="1"/>
  <c r="E1032" i="7" l="1"/>
  <c r="F1032" i="7" l="1"/>
  <c r="G1032" i="7" s="1"/>
  <c r="H1032" i="7" s="1"/>
  <c r="E1033" i="7" l="1"/>
  <c r="F1033" i="7" l="1"/>
  <c r="G1033" i="7" s="1"/>
  <c r="H1033" i="7" s="1"/>
  <c r="E1034" i="7" l="1"/>
  <c r="F1034" i="7" l="1"/>
  <c r="G1034" i="7" s="1"/>
  <c r="H1034" i="7" s="1"/>
  <c r="E1035" i="7" l="1"/>
  <c r="F1035" i="7" l="1"/>
  <c r="G1035" i="7" s="1"/>
  <c r="H1035" i="7" s="1"/>
  <c r="E1036" i="7" l="1"/>
  <c r="F1036" i="7" l="1"/>
  <c r="G1036" i="7" s="1"/>
  <c r="H1036" i="7" s="1"/>
  <c r="E1037" i="7" l="1"/>
  <c r="F1037" i="7" l="1"/>
  <c r="G1037" i="7" s="1"/>
  <c r="H1037" i="7" s="1"/>
  <c r="E1038" i="7" l="1"/>
  <c r="F1038" i="7" l="1"/>
  <c r="G1038" i="7" s="1"/>
  <c r="H1038" i="7" s="1"/>
  <c r="E1039" i="7" l="1"/>
  <c r="F1039" i="7" l="1"/>
  <c r="G1039" i="7" s="1"/>
  <c r="H1039" i="7" s="1"/>
  <c r="E1040" i="7" l="1"/>
  <c r="F1040" i="7" l="1"/>
  <c r="G1040" i="7" s="1"/>
  <c r="H1040" i="7" s="1"/>
  <c r="E1041" i="7" l="1"/>
  <c r="F1041" i="7" l="1"/>
  <c r="G1041" i="7" s="1"/>
  <c r="H1041" i="7" s="1"/>
  <c r="E1042" i="7" l="1"/>
  <c r="F1042" i="7" l="1"/>
  <c r="G1042" i="7" s="1"/>
  <c r="H1042" i="7" s="1"/>
  <c r="E1043" i="7" l="1"/>
  <c r="F1043" i="7" l="1"/>
  <c r="G1043" i="7" s="1"/>
  <c r="H1043" i="7" s="1"/>
  <c r="E1044" i="7" l="1"/>
  <c r="F1044" i="7" l="1"/>
  <c r="G1044" i="7" s="1"/>
  <c r="H1044" i="7" s="1"/>
  <c r="E1045" i="7" l="1"/>
  <c r="F1045" i="7" l="1"/>
  <c r="G1045" i="7" s="1"/>
  <c r="H1045" i="7" s="1"/>
  <c r="E1046" i="7" l="1"/>
  <c r="F1046" i="7" l="1"/>
  <c r="G1046" i="7" s="1"/>
  <c r="H1046" i="7" s="1"/>
  <c r="E1047" i="7" l="1"/>
  <c r="F1047" i="7" l="1"/>
  <c r="G1047" i="7" s="1"/>
  <c r="H1047" i="7" s="1"/>
  <c r="E1048" i="7" l="1"/>
  <c r="F1048" i="7" l="1"/>
  <c r="G1048" i="7" s="1"/>
  <c r="H1048" i="7" s="1"/>
  <c r="E1049" i="7" l="1"/>
  <c r="F1049" i="7" l="1"/>
  <c r="G1049" i="7" s="1"/>
  <c r="H1049" i="7" s="1"/>
  <c r="E1050" i="7" l="1"/>
  <c r="F1050" i="7" l="1"/>
  <c r="G1050" i="7" s="1"/>
  <c r="H1050" i="7" s="1"/>
  <c r="E1051" i="7" l="1"/>
  <c r="F1051" i="7" l="1"/>
  <c r="G1051" i="7" s="1"/>
  <c r="H1051" i="7" s="1"/>
  <c r="E1052" i="7" l="1"/>
  <c r="F1052" i="7" l="1"/>
  <c r="G1052" i="7" s="1"/>
  <c r="H1052" i="7" s="1"/>
  <c r="E1053" i="7" l="1"/>
  <c r="F1053" i="7" l="1"/>
  <c r="G1053" i="7" s="1"/>
  <c r="H1053" i="7" s="1"/>
  <c r="E1054" i="7" l="1"/>
  <c r="F1054" i="7" l="1"/>
  <c r="G1054" i="7" s="1"/>
  <c r="H1054" i="7" s="1"/>
  <c r="E1055" i="7" l="1"/>
  <c r="F1055" i="7" l="1"/>
  <c r="G1055" i="7" s="1"/>
  <c r="H1055" i="7" s="1"/>
  <c r="E1056" i="7" l="1"/>
  <c r="F1056" i="7" l="1"/>
  <c r="G1056" i="7" s="1"/>
  <c r="H1056" i="7" s="1"/>
  <c r="E1057" i="7" l="1"/>
  <c r="F1057" i="7" l="1"/>
  <c r="G1057" i="7" s="1"/>
  <c r="H1057" i="7" s="1"/>
  <c r="E1058" i="7" l="1"/>
  <c r="F1058" i="7" l="1"/>
  <c r="G1058" i="7" s="1"/>
  <c r="H1058" i="7" s="1"/>
  <c r="E1059" i="7" l="1"/>
  <c r="F1059" i="7" l="1"/>
  <c r="G1059" i="7" s="1"/>
  <c r="H1059" i="7" s="1"/>
  <c r="E1060" i="7" l="1"/>
  <c r="F1060" i="7" l="1"/>
  <c r="G1060" i="7" s="1"/>
  <c r="H1060" i="7" s="1"/>
  <c r="E1061" i="7" l="1"/>
  <c r="F1061" i="7" l="1"/>
  <c r="G1061" i="7" s="1"/>
  <c r="H1061" i="7" s="1"/>
  <c r="E1062" i="7" l="1"/>
  <c r="F1062" i="7" l="1"/>
  <c r="G1062" i="7" s="1"/>
  <c r="H1062" i="7" s="1"/>
  <c r="E1063" i="7" l="1"/>
  <c r="F1063" i="7" l="1"/>
  <c r="G1063" i="7" s="1"/>
  <c r="H1063" i="7" s="1"/>
  <c r="E1064" i="7" l="1"/>
  <c r="F1064" i="7" l="1"/>
  <c r="G1064" i="7" s="1"/>
  <c r="H1064" i="7" s="1"/>
  <c r="E1065" i="7" l="1"/>
  <c r="F1065" i="7" l="1"/>
  <c r="G1065" i="7" s="1"/>
  <c r="H1065" i="7" s="1"/>
  <c r="E1066" i="7" l="1"/>
  <c r="F1066" i="7" l="1"/>
  <c r="G1066" i="7" s="1"/>
  <c r="H1066" i="7" s="1"/>
  <c r="E1067" i="7" l="1"/>
  <c r="F1067" i="7" l="1"/>
  <c r="G1067" i="7" s="1"/>
  <c r="H1067" i="7" s="1"/>
  <c r="E1068" i="7" l="1"/>
  <c r="F1068" i="7" l="1"/>
  <c r="G1068" i="7" s="1"/>
  <c r="H1068" i="7" s="1"/>
  <c r="E1069" i="7" l="1"/>
  <c r="F1069" i="7" l="1"/>
  <c r="G1069" i="7" s="1"/>
  <c r="H1069" i="7" s="1"/>
  <c r="E1070" i="7" l="1"/>
  <c r="F1070" i="7" l="1"/>
  <c r="G1070" i="7" s="1"/>
  <c r="H1070" i="7" s="1"/>
  <c r="E1071" i="7" l="1"/>
  <c r="F1071" i="7" l="1"/>
  <c r="G1071" i="7" s="1"/>
  <c r="H1071" i="7" s="1"/>
  <c r="E1072" i="7" l="1"/>
  <c r="F1072" i="7" l="1"/>
  <c r="G1072" i="7" s="1"/>
  <c r="H1072" i="7" s="1"/>
  <c r="E1073" i="7" l="1"/>
  <c r="F1073" i="7" l="1"/>
  <c r="G1073" i="7" s="1"/>
  <c r="H1073" i="7" s="1"/>
  <c r="E1074" i="7" l="1"/>
  <c r="F1074" i="7" l="1"/>
  <c r="G1074" i="7" s="1"/>
  <c r="H1074" i="7" s="1"/>
  <c r="E1075" i="7" l="1"/>
  <c r="F1075" i="7" l="1"/>
  <c r="G1075" i="7" s="1"/>
  <c r="H1075" i="7" s="1"/>
  <c r="E1076" i="7" l="1"/>
  <c r="F1076" i="7" l="1"/>
  <c r="G1076" i="7" s="1"/>
  <c r="H1076" i="7" s="1"/>
  <c r="E1077" i="7" l="1"/>
  <c r="F1077" i="7" l="1"/>
  <c r="G1077" i="7" s="1"/>
  <c r="H1077" i="7" s="1"/>
  <c r="E1078" i="7" l="1"/>
  <c r="F1078" i="7" l="1"/>
  <c r="G1078" i="7" s="1"/>
  <c r="H1078" i="7" s="1"/>
  <c r="E1079" i="7" l="1"/>
  <c r="F1079" i="7" l="1"/>
  <c r="G1079" i="7" s="1"/>
  <c r="H1079" i="7" s="1"/>
  <c r="E1080" i="7" l="1"/>
  <c r="F1080" i="7" l="1"/>
  <c r="G1080" i="7" s="1"/>
  <c r="H1080" i="7" s="1"/>
  <c r="E1081" i="7" l="1"/>
  <c r="F1081" i="7" l="1"/>
  <c r="G1081" i="7" s="1"/>
  <c r="H1081" i="7" s="1"/>
  <c r="E1082" i="7" l="1"/>
  <c r="F1082" i="7" l="1"/>
  <c r="G1082" i="7" s="1"/>
  <c r="H1082" i="7" s="1"/>
  <c r="E1083" i="7" l="1"/>
  <c r="F1083" i="7" l="1"/>
  <c r="G1083" i="7" s="1"/>
  <c r="H1083" i="7" s="1"/>
  <c r="E1084" i="7" l="1"/>
  <c r="F1084" i="7" l="1"/>
  <c r="G1084" i="7" s="1"/>
  <c r="H1084" i="7" s="1"/>
  <c r="E1085" i="7" l="1"/>
  <c r="F1085" i="7" l="1"/>
  <c r="G1085" i="7" s="1"/>
  <c r="H1085" i="7" s="1"/>
  <c r="E1086" i="7" l="1"/>
  <c r="F1086" i="7" l="1"/>
  <c r="G1086" i="7" s="1"/>
  <c r="H1086" i="7" s="1"/>
  <c r="E1087" i="7" l="1"/>
  <c r="F1087" i="7" l="1"/>
  <c r="G1087" i="7" s="1"/>
  <c r="H1087" i="7" s="1"/>
  <c r="E1088" i="7" l="1"/>
  <c r="F1088" i="7" l="1"/>
  <c r="G1088" i="7" s="1"/>
  <c r="H1088" i="7" s="1"/>
  <c r="E1089" i="7" l="1"/>
  <c r="F1089" i="7" l="1"/>
  <c r="G1089" i="7" s="1"/>
  <c r="H1089" i="7" s="1"/>
  <c r="E1090" i="7" l="1"/>
  <c r="F1090" i="7" l="1"/>
  <c r="G1090" i="7" s="1"/>
  <c r="H1090" i="7" s="1"/>
  <c r="E1091" i="7" l="1"/>
  <c r="F1091" i="7" l="1"/>
  <c r="G1091" i="7" s="1"/>
  <c r="H1091" i="7" s="1"/>
  <c r="E1092" i="7" l="1"/>
  <c r="F1092" i="7" l="1"/>
  <c r="G1092" i="7" s="1"/>
  <c r="H1092" i="7" s="1"/>
  <c r="E1093" i="7" l="1"/>
  <c r="F1093" i="7" l="1"/>
  <c r="G1093" i="7" s="1"/>
  <c r="H1093" i="7" s="1"/>
  <c r="E1094" i="7" l="1"/>
  <c r="F1094" i="7" l="1"/>
  <c r="G1094" i="7" s="1"/>
  <c r="H1094" i="7" s="1"/>
  <c r="E1095" i="7" l="1"/>
  <c r="F1095" i="7" l="1"/>
  <c r="G1095" i="7" s="1"/>
  <c r="H1095" i="7" s="1"/>
  <c r="E1096" i="7" l="1"/>
  <c r="F1096" i="7" l="1"/>
  <c r="G1096" i="7" s="1"/>
  <c r="H1096" i="7" s="1"/>
  <c r="E1097" i="7" l="1"/>
  <c r="F1097" i="7" l="1"/>
  <c r="G1097" i="7" s="1"/>
  <c r="H1097" i="7" s="1"/>
  <c r="E1098" i="7" l="1"/>
  <c r="F1098" i="7" l="1"/>
  <c r="G1098" i="7" s="1"/>
  <c r="H1098" i="7" s="1"/>
  <c r="E1099" i="7" l="1"/>
  <c r="F1099" i="7" l="1"/>
  <c r="G1099" i="7" s="1"/>
  <c r="H1099" i="7" s="1"/>
  <c r="E1100" i="7" l="1"/>
  <c r="F1100" i="7" l="1"/>
  <c r="G1100" i="7" s="1"/>
  <c r="H1100" i="7" s="1"/>
  <c r="E1101" i="7" l="1"/>
  <c r="F1101" i="7" l="1"/>
  <c r="G1101" i="7" s="1"/>
  <c r="H1101" i="7" s="1"/>
  <c r="E1102" i="7" l="1"/>
  <c r="F1102" i="7" l="1"/>
  <c r="G1102" i="7" s="1"/>
  <c r="H1102" i="7" s="1"/>
  <c r="E1103" i="7" l="1"/>
  <c r="F1103" i="7" l="1"/>
  <c r="G1103" i="7" s="1"/>
  <c r="H1103" i="7" s="1"/>
  <c r="E1104" i="7" l="1"/>
  <c r="F1104" i="7" l="1"/>
  <c r="G1104" i="7" s="1"/>
  <c r="H1104" i="7" s="1"/>
  <c r="E1105" i="7" l="1"/>
  <c r="F1105" i="7" l="1"/>
  <c r="G1105" i="7" s="1"/>
  <c r="H1105" i="7" s="1"/>
  <c r="E1106" i="7" l="1"/>
  <c r="F1106" i="7" l="1"/>
  <c r="G1106" i="7" s="1"/>
  <c r="H1106" i="7" s="1"/>
  <c r="E1107" i="7" l="1"/>
  <c r="F1107" i="7" l="1"/>
  <c r="G1107" i="7" s="1"/>
  <c r="H1107" i="7" s="1"/>
  <c r="E1108" i="7" l="1"/>
  <c r="F1108" i="7" l="1"/>
  <c r="G1108" i="7" s="1"/>
  <c r="H1108" i="7" s="1"/>
  <c r="E1109" i="7" l="1"/>
  <c r="F1109" i="7" l="1"/>
  <c r="G1109" i="7" s="1"/>
  <c r="H1109" i="7" s="1"/>
  <c r="E1110" i="7" l="1"/>
  <c r="F1110" i="7" l="1"/>
  <c r="G1110" i="7" s="1"/>
  <c r="H1110" i="7" s="1"/>
  <c r="E1111" i="7" l="1"/>
  <c r="F1111" i="7" l="1"/>
  <c r="G1111" i="7" s="1"/>
  <c r="H1111" i="7" s="1"/>
  <c r="E1112" i="7" l="1"/>
  <c r="F1112" i="7" l="1"/>
  <c r="G1112" i="7" s="1"/>
  <c r="H1112" i="7" s="1"/>
  <c r="E1113" i="7" l="1"/>
  <c r="F1113" i="7" l="1"/>
  <c r="G1113" i="7" s="1"/>
  <c r="H1113" i="7" s="1"/>
  <c r="E1114" i="7" l="1"/>
  <c r="F1114" i="7" l="1"/>
  <c r="G1114" i="7" s="1"/>
  <c r="H1114" i="7" s="1"/>
  <c r="E1115" i="7" l="1"/>
  <c r="F1115" i="7" l="1"/>
  <c r="G1115" i="7" s="1"/>
  <c r="H1115" i="7" s="1"/>
  <c r="E1116" i="7" l="1"/>
  <c r="F1116" i="7" l="1"/>
  <c r="G1116" i="7" s="1"/>
  <c r="H1116" i="7" s="1"/>
  <c r="E1117" i="7" l="1"/>
  <c r="F1117" i="7" l="1"/>
  <c r="G1117" i="7" s="1"/>
  <c r="H1117" i="7" s="1"/>
  <c r="E1118" i="7" l="1"/>
  <c r="F1118" i="7" l="1"/>
  <c r="G1118" i="7" s="1"/>
  <c r="H1118" i="7" s="1"/>
  <c r="E1119" i="7" l="1"/>
  <c r="F1119" i="7" l="1"/>
  <c r="G1119" i="7" s="1"/>
  <c r="H1119" i="7" s="1"/>
  <c r="E1120" i="7" l="1"/>
  <c r="F1120" i="7" l="1"/>
  <c r="G1120" i="7" s="1"/>
  <c r="H1120" i="7" s="1"/>
  <c r="E1121" i="7" l="1"/>
  <c r="F1121" i="7" l="1"/>
  <c r="G1121" i="7" s="1"/>
  <c r="H1121" i="7" s="1"/>
  <c r="E1122" i="7" l="1"/>
  <c r="F1122" i="7" l="1"/>
  <c r="G1122" i="7" s="1"/>
  <c r="H1122" i="7" s="1"/>
  <c r="E1123" i="7" l="1"/>
  <c r="F1123" i="7" l="1"/>
  <c r="G1123" i="7" s="1"/>
  <c r="H1123" i="7" s="1"/>
  <c r="E1124" i="7" l="1"/>
  <c r="F1124" i="7" l="1"/>
  <c r="G1124" i="7" s="1"/>
  <c r="H1124" i="7" s="1"/>
  <c r="E1125" i="7" l="1"/>
  <c r="F1125" i="7" l="1"/>
  <c r="G1125" i="7" s="1"/>
  <c r="H1125" i="7" s="1"/>
  <c r="E1126" i="7" l="1"/>
  <c r="F1126" i="7" l="1"/>
  <c r="G1126" i="7" s="1"/>
  <c r="H1126" i="7" s="1"/>
  <c r="E1127" i="7" l="1"/>
  <c r="F1127" i="7" l="1"/>
  <c r="G1127" i="7" s="1"/>
  <c r="H1127" i="7" s="1"/>
  <c r="E1128" i="7" l="1"/>
  <c r="F1128" i="7" l="1"/>
  <c r="G1128" i="7" s="1"/>
  <c r="H1128" i="7" s="1"/>
  <c r="E1129" i="7" l="1"/>
  <c r="F1129" i="7" l="1"/>
  <c r="G1129" i="7" s="1"/>
  <c r="H1129" i="7" s="1"/>
  <c r="E1130" i="7" l="1"/>
  <c r="F1130" i="7" l="1"/>
  <c r="G1130" i="7" s="1"/>
  <c r="H1130" i="7" s="1"/>
  <c r="E1131" i="7" l="1"/>
  <c r="F1131" i="7" l="1"/>
  <c r="G1131" i="7" s="1"/>
  <c r="H1131" i="7" s="1"/>
  <c r="E1132" i="7" l="1"/>
  <c r="F1132" i="7" l="1"/>
  <c r="G1132" i="7" s="1"/>
  <c r="H1132" i="7" s="1"/>
  <c r="E1133" i="7" l="1"/>
  <c r="F1133" i="7" l="1"/>
  <c r="G1133" i="7" s="1"/>
  <c r="H1133" i="7" s="1"/>
  <c r="E1134" i="7" l="1"/>
  <c r="F1134" i="7" l="1"/>
  <c r="G1134" i="7" s="1"/>
  <c r="H1134" i="7" s="1"/>
  <c r="E1135" i="7" l="1"/>
  <c r="F1135" i="7" l="1"/>
  <c r="G1135" i="7" s="1"/>
  <c r="H1135" i="7" s="1"/>
  <c r="E1136" i="7" l="1"/>
  <c r="F1136" i="7" l="1"/>
  <c r="G1136" i="7" s="1"/>
  <c r="H1136" i="7" s="1"/>
  <c r="E1137" i="7" l="1"/>
  <c r="F1137" i="7" l="1"/>
  <c r="G1137" i="7" s="1"/>
  <c r="H1137" i="7" s="1"/>
  <c r="E1138" i="7" l="1"/>
  <c r="F1138" i="7" l="1"/>
  <c r="G1138" i="7" s="1"/>
  <c r="H1138" i="7" s="1"/>
  <c r="E1139" i="7" l="1"/>
  <c r="F1139" i="7" l="1"/>
  <c r="G1139" i="7" s="1"/>
  <c r="H1139" i="7" s="1"/>
  <c r="E1140" i="7" l="1"/>
  <c r="F1140" i="7" l="1"/>
  <c r="G1140" i="7" s="1"/>
  <c r="H1140" i="7" s="1"/>
  <c r="E1141" i="7" l="1"/>
  <c r="F1141" i="7" l="1"/>
  <c r="G1141" i="7" s="1"/>
  <c r="H1141" i="7" s="1"/>
  <c r="E1142" i="7" l="1"/>
  <c r="F1142" i="7" l="1"/>
  <c r="G1142" i="7" s="1"/>
  <c r="H1142" i="7" s="1"/>
  <c r="E1143" i="7" l="1"/>
  <c r="F1143" i="7" l="1"/>
  <c r="G1143" i="7" s="1"/>
  <c r="H1143" i="7" s="1"/>
  <c r="E1144" i="7" l="1"/>
  <c r="F1144" i="7" l="1"/>
  <c r="G1144" i="7" s="1"/>
  <c r="H1144" i="7" s="1"/>
  <c r="E1145" i="7" l="1"/>
  <c r="F1145" i="7" l="1"/>
  <c r="G1145" i="7" s="1"/>
  <c r="H1145" i="7" s="1"/>
  <c r="E1146" i="7" l="1"/>
  <c r="F1146" i="7" l="1"/>
  <c r="G1146" i="7" s="1"/>
  <c r="H1146" i="7" s="1"/>
  <c r="E1147" i="7" l="1"/>
  <c r="F1147" i="7" l="1"/>
  <c r="G1147" i="7" s="1"/>
  <c r="H1147" i="7" s="1"/>
  <c r="E1148" i="7" l="1"/>
  <c r="F1148" i="7" l="1"/>
  <c r="G1148" i="7" s="1"/>
  <c r="H1148" i="7" s="1"/>
  <c r="E1149" i="7" l="1"/>
  <c r="F1149" i="7" l="1"/>
  <c r="G1149" i="7" s="1"/>
  <c r="H1149" i="7" s="1"/>
  <c r="E1150" i="7" l="1"/>
  <c r="F1150" i="7" l="1"/>
  <c r="G1150" i="7" s="1"/>
  <c r="H1150" i="7" s="1"/>
  <c r="E1151" i="7" l="1"/>
  <c r="F1151" i="7" l="1"/>
  <c r="G1151" i="7" s="1"/>
  <c r="H1151" i="7" s="1"/>
  <c r="E1152" i="7" l="1"/>
  <c r="F1152" i="7" l="1"/>
  <c r="G1152" i="7" s="1"/>
  <c r="H1152" i="7" s="1"/>
  <c r="E1153" i="7" l="1"/>
  <c r="F1153" i="7" l="1"/>
  <c r="G1153" i="7" s="1"/>
  <c r="H1153" i="7" s="1"/>
  <c r="E1154" i="7" l="1"/>
  <c r="F1154" i="7" l="1"/>
  <c r="G1154" i="7" s="1"/>
  <c r="H1154" i="7" s="1"/>
  <c r="E1155" i="7" l="1"/>
  <c r="F1155" i="7" l="1"/>
  <c r="G1155" i="7" s="1"/>
  <c r="H1155" i="7" s="1"/>
  <c r="E1156" i="7" l="1"/>
  <c r="F1156" i="7" l="1"/>
  <c r="G1156" i="7" s="1"/>
  <c r="H1156" i="7" s="1"/>
  <c r="E1157" i="7" l="1"/>
  <c r="F1157" i="7" l="1"/>
  <c r="G1157" i="7" s="1"/>
  <c r="H1157" i="7" s="1"/>
  <c r="E1158" i="7" l="1"/>
  <c r="F1158" i="7" l="1"/>
  <c r="G1158" i="7" s="1"/>
  <c r="H1158" i="7" s="1"/>
  <c r="E1159" i="7" l="1"/>
  <c r="F1159" i="7" l="1"/>
  <c r="G1159" i="7" s="1"/>
  <c r="H1159" i="7" s="1"/>
  <c r="E1160" i="7" l="1"/>
  <c r="F1160" i="7" l="1"/>
  <c r="G1160" i="7" s="1"/>
  <c r="H1160" i="7" s="1"/>
  <c r="E1161" i="7" l="1"/>
  <c r="F1161" i="7" l="1"/>
  <c r="G1161" i="7" s="1"/>
  <c r="H1161" i="7" s="1"/>
  <c r="E1162" i="7" l="1"/>
  <c r="F1162" i="7" l="1"/>
  <c r="G1162" i="7" s="1"/>
  <c r="H1162" i="7" s="1"/>
  <c r="E1163" i="7" l="1"/>
  <c r="F1163" i="7" l="1"/>
  <c r="G1163" i="7" s="1"/>
  <c r="H1163" i="7" s="1"/>
  <c r="E1164" i="7" l="1"/>
  <c r="F1164" i="7" l="1"/>
  <c r="G1164" i="7" s="1"/>
  <c r="H1164" i="7" s="1"/>
  <c r="E1165" i="7" l="1"/>
  <c r="F1165" i="7" l="1"/>
  <c r="G1165" i="7" s="1"/>
  <c r="H1165" i="7" s="1"/>
  <c r="E1166" i="7" l="1"/>
  <c r="F1166" i="7" l="1"/>
  <c r="G1166" i="7" s="1"/>
  <c r="H1166" i="7" s="1"/>
  <c r="E1167" i="7" l="1"/>
  <c r="F1167" i="7" l="1"/>
  <c r="G1167" i="7" s="1"/>
  <c r="H1167" i="7" s="1"/>
  <c r="E1168" i="7" l="1"/>
  <c r="F1168" i="7" l="1"/>
  <c r="G1168" i="7" s="1"/>
  <c r="H1168" i="7" s="1"/>
  <c r="E1169" i="7" l="1"/>
  <c r="F1169" i="7" l="1"/>
  <c r="G1169" i="7" s="1"/>
  <c r="H1169" i="7" s="1"/>
  <c r="E1170" i="7" l="1"/>
  <c r="F1170" i="7" l="1"/>
  <c r="G1170" i="7" s="1"/>
  <c r="H1170" i="7" s="1"/>
  <c r="E1171" i="7" l="1"/>
  <c r="F1171" i="7" l="1"/>
  <c r="G1171" i="7" s="1"/>
  <c r="H1171" i="7" s="1"/>
  <c r="E1172" i="7" l="1"/>
  <c r="F1172" i="7" l="1"/>
  <c r="G1172" i="7" s="1"/>
  <c r="H1172" i="7" s="1"/>
  <c r="E1173" i="7" l="1"/>
  <c r="F1173" i="7" l="1"/>
  <c r="G1173" i="7" s="1"/>
  <c r="H1173" i="7" s="1"/>
  <c r="E1174" i="7" l="1"/>
  <c r="F1174" i="7" l="1"/>
  <c r="G1174" i="7" s="1"/>
  <c r="H1174" i="7" s="1"/>
  <c r="E1175" i="7" l="1"/>
  <c r="F1175" i="7" l="1"/>
  <c r="G1175" i="7" s="1"/>
  <c r="H1175" i="7" s="1"/>
  <c r="E1176" i="7" l="1"/>
  <c r="F1176" i="7" l="1"/>
  <c r="G1176" i="7" s="1"/>
  <c r="H1176" i="7" s="1"/>
  <c r="E1177" i="7" l="1"/>
  <c r="F1177" i="7" l="1"/>
  <c r="G1177" i="7" s="1"/>
  <c r="H1177" i="7" s="1"/>
  <c r="E1178" i="7" l="1"/>
  <c r="F1178" i="7" l="1"/>
  <c r="G1178" i="7" s="1"/>
  <c r="H1178" i="7" s="1"/>
  <c r="E1179" i="7" l="1"/>
  <c r="F1179" i="7" l="1"/>
  <c r="G1179" i="7" s="1"/>
  <c r="H1179" i="7" s="1"/>
  <c r="E1180" i="7" l="1"/>
  <c r="F1180" i="7" l="1"/>
  <c r="G1180" i="7" s="1"/>
  <c r="H1180" i="7" s="1"/>
  <c r="E1181" i="7" l="1"/>
  <c r="F1181" i="7" l="1"/>
  <c r="G1181" i="7" s="1"/>
  <c r="H1181" i="7" s="1"/>
  <c r="E1182" i="7" l="1"/>
  <c r="F1182" i="7" l="1"/>
  <c r="G1182" i="7" s="1"/>
  <c r="H1182" i="7" s="1"/>
  <c r="E1183" i="7" l="1"/>
  <c r="F1183" i="7" l="1"/>
  <c r="G1183" i="7" s="1"/>
  <c r="H1183" i="7" s="1"/>
  <c r="E1184" i="7" l="1"/>
  <c r="F1184" i="7" l="1"/>
  <c r="G1184" i="7" s="1"/>
  <c r="H1184" i="7" s="1"/>
  <c r="E1185" i="7" l="1"/>
  <c r="F1185" i="7" l="1"/>
  <c r="G1185" i="7" s="1"/>
  <c r="H1185" i="7" s="1"/>
  <c r="E1186" i="7" l="1"/>
  <c r="F1186" i="7" l="1"/>
  <c r="G1186" i="7" s="1"/>
  <c r="H1186" i="7" s="1"/>
  <c r="E1187" i="7" l="1"/>
  <c r="F1187" i="7" l="1"/>
  <c r="G1187" i="7" s="1"/>
  <c r="H1187" i="7" s="1"/>
  <c r="E1188" i="7" l="1"/>
  <c r="F1188" i="7" l="1"/>
  <c r="G1188" i="7" s="1"/>
  <c r="H1188" i="7" s="1"/>
  <c r="E1189" i="7" l="1"/>
  <c r="F1189" i="7" l="1"/>
  <c r="G1189" i="7" s="1"/>
  <c r="H1189" i="7" s="1"/>
  <c r="E1190" i="7" l="1"/>
  <c r="F1190" i="7" l="1"/>
  <c r="G1190" i="7" s="1"/>
  <c r="H1190" i="7" s="1"/>
  <c r="E1191" i="7" l="1"/>
  <c r="F1191" i="7" l="1"/>
  <c r="G1191" i="7" s="1"/>
  <c r="H1191" i="7" s="1"/>
  <c r="E1192" i="7" l="1"/>
  <c r="F1192" i="7" l="1"/>
  <c r="G1192" i="7" s="1"/>
  <c r="H1192" i="7" s="1"/>
  <c r="E1193" i="7" l="1"/>
  <c r="F1193" i="7" l="1"/>
  <c r="G1193" i="7" s="1"/>
  <c r="H1193" i="7" s="1"/>
  <c r="E1194" i="7" l="1"/>
  <c r="F1194" i="7" l="1"/>
  <c r="G1194" i="7" s="1"/>
  <c r="H1194" i="7" s="1"/>
  <c r="E1195" i="7" l="1"/>
  <c r="F1195" i="7" l="1"/>
  <c r="G1195" i="7" s="1"/>
  <c r="H1195" i="7" s="1"/>
  <c r="E1196" i="7" l="1"/>
  <c r="F1196" i="7" l="1"/>
  <c r="G1196" i="7" s="1"/>
  <c r="H1196" i="7" s="1"/>
  <c r="E1197" i="7" l="1"/>
  <c r="F1197" i="7" l="1"/>
  <c r="G1197" i="7" s="1"/>
  <c r="H1197" i="7" s="1"/>
  <c r="E1198" i="7" l="1"/>
  <c r="F1198" i="7" l="1"/>
  <c r="G1198" i="7" s="1"/>
  <c r="H1198" i="7" s="1"/>
  <c r="E1199" i="7" l="1"/>
  <c r="F1199" i="7" l="1"/>
  <c r="G1199" i="7" s="1"/>
  <c r="H1199" i="7" s="1"/>
  <c r="E1200" i="7" l="1"/>
  <c r="F1200" i="7" l="1"/>
  <c r="G1200" i="7" s="1"/>
  <c r="H1200" i="7" s="1"/>
  <c r="E1201" i="7" l="1"/>
  <c r="F1201" i="7" l="1"/>
  <c r="G1201" i="7" s="1"/>
  <c r="H1201" i="7" s="1"/>
  <c r="E1202" i="7" l="1"/>
  <c r="F1202" i="7" l="1"/>
  <c r="G1202" i="7" s="1"/>
  <c r="H1202" i="7" s="1"/>
  <c r="E1203" i="7" l="1"/>
  <c r="F1203" i="7" l="1"/>
  <c r="G1203" i="7" s="1"/>
  <c r="H1203" i="7" s="1"/>
  <c r="E1204" i="7" l="1"/>
  <c r="F1204" i="7" l="1"/>
  <c r="G1204" i="7" s="1"/>
  <c r="H1204" i="7" s="1"/>
  <c r="E1205" i="7" l="1"/>
  <c r="F1205" i="7" l="1"/>
  <c r="G1205" i="7" s="1"/>
  <c r="H1205" i="7" s="1"/>
  <c r="E1206" i="7" l="1"/>
  <c r="F1206" i="7" l="1"/>
  <c r="G1206" i="7" s="1"/>
  <c r="H1206" i="7" s="1"/>
  <c r="E1207" i="7" l="1"/>
  <c r="F1207" i="7" l="1"/>
  <c r="G1207" i="7" s="1"/>
  <c r="H1207" i="7" s="1"/>
  <c r="E1208" i="7" l="1"/>
  <c r="F1208" i="7" l="1"/>
  <c r="G1208" i="7" s="1"/>
  <c r="H1208" i="7" s="1"/>
  <c r="E1209" i="7" l="1"/>
  <c r="F1209" i="7" l="1"/>
  <c r="G1209" i="7" s="1"/>
  <c r="H1209" i="7" s="1"/>
  <c r="E1210" i="7" l="1"/>
  <c r="F1210" i="7" l="1"/>
  <c r="G1210" i="7" s="1"/>
  <c r="H1210" i="7" s="1"/>
  <c r="E1211" i="7" l="1"/>
  <c r="F1211" i="7" l="1"/>
  <c r="G1211" i="7" s="1"/>
  <c r="H1211" i="7" s="1"/>
  <c r="E1212" i="7" l="1"/>
  <c r="F1212" i="7" l="1"/>
  <c r="G1212" i="7" s="1"/>
  <c r="H1212" i="7" s="1"/>
  <c r="E1213" i="7" l="1"/>
  <c r="F1213" i="7" l="1"/>
  <c r="G1213" i="7" s="1"/>
  <c r="H1213" i="7" s="1"/>
  <c r="E1214" i="7" l="1"/>
  <c r="F1214" i="7" l="1"/>
  <c r="G1214" i="7" s="1"/>
  <c r="H1214" i="7" s="1"/>
  <c r="E1215" i="7" l="1"/>
  <c r="F1215" i="7" l="1"/>
  <c r="G1215" i="7" s="1"/>
  <c r="H1215" i="7" s="1"/>
  <c r="E1216" i="7" l="1"/>
  <c r="F1216" i="7" l="1"/>
  <c r="G1216" i="7" s="1"/>
  <c r="H1216" i="7" s="1"/>
  <c r="E1217" i="7" l="1"/>
  <c r="F1217" i="7" s="1"/>
  <c r="G1217" i="7" s="1"/>
  <c r="H1217" i="7" s="1"/>
</calcChain>
</file>

<file path=xl/sharedStrings.xml><?xml version="1.0" encoding="utf-8"?>
<sst xmlns="http://schemas.openxmlformats.org/spreadsheetml/2006/main" count="285" uniqueCount="58">
  <si>
    <t>INTERVALO</t>
  </si>
  <si>
    <t>X</t>
  </si>
  <si>
    <t>P(X)</t>
  </si>
  <si>
    <t>F(X)</t>
  </si>
  <si>
    <t>Li</t>
  </si>
  <si>
    <t>Ls</t>
  </si>
  <si>
    <t>RI</t>
  </si>
  <si>
    <t>SIMULACION</t>
  </si>
  <si>
    <t>PERIODOS (1 hora)</t>
  </si>
  <si>
    <t>DIA</t>
  </si>
  <si>
    <t>A</t>
  </si>
  <si>
    <t>PROMEDIO ACUMULADO</t>
  </si>
  <si>
    <t>ACUMULADO</t>
  </si>
  <si>
    <t>semilla</t>
  </si>
  <si>
    <t>CONGRUENCIAL MIXTO</t>
  </si>
  <si>
    <t>Xo</t>
  </si>
  <si>
    <t>M</t>
  </si>
  <si>
    <t>G</t>
  </si>
  <si>
    <t>C</t>
  </si>
  <si>
    <t>NOTACION</t>
  </si>
  <si>
    <t>LENGUAJE</t>
  </si>
  <si>
    <t>CODIGO</t>
  </si>
  <si>
    <t>DETALLE</t>
  </si>
  <si>
    <t>UNIVA</t>
  </si>
  <si>
    <t>IBM</t>
  </si>
  <si>
    <t>DEC</t>
  </si>
  <si>
    <t>VAX</t>
  </si>
  <si>
    <t>ITERACION</t>
  </si>
  <si>
    <t>Xi</t>
  </si>
  <si>
    <t>A * Xi + C</t>
  </si>
  <si>
    <t>Yi = (A * Xi + C) mod (m)</t>
  </si>
  <si>
    <t>Ri = Yi/m</t>
  </si>
  <si>
    <t>Replica 1</t>
  </si>
  <si>
    <t>Replica 2</t>
  </si>
  <si>
    <t xml:space="preserve">Desviacion estandar </t>
  </si>
  <si>
    <t>Media arigmetica</t>
  </si>
  <si>
    <t>Replica 3</t>
  </si>
  <si>
    <t>Replica 4</t>
  </si>
  <si>
    <t>Replica 5</t>
  </si>
  <si>
    <t>Replica 6</t>
  </si>
  <si>
    <t>Replica 7</t>
  </si>
  <si>
    <t>Replica 8</t>
  </si>
  <si>
    <t>Replica 9</t>
  </si>
  <si>
    <t>Replica 10</t>
  </si>
  <si>
    <t>Replica 11</t>
  </si>
  <si>
    <t>Replica 12</t>
  </si>
  <si>
    <t xml:space="preserve">Replica 13 </t>
  </si>
  <si>
    <t>Replica 14</t>
  </si>
  <si>
    <t xml:space="preserve">Replica 15 </t>
  </si>
  <si>
    <t>Replica 16</t>
  </si>
  <si>
    <t>Replica 17</t>
  </si>
  <si>
    <t>Replica 18</t>
  </si>
  <si>
    <t xml:space="preserve">Replica 19 </t>
  </si>
  <si>
    <t xml:space="preserve">Replica 20 </t>
  </si>
  <si>
    <t>Replica 13</t>
  </si>
  <si>
    <t>Replica 15</t>
  </si>
  <si>
    <t>Replica 19</t>
  </si>
  <si>
    <t>Replica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</si>
</sst>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"/>
    <numFmt numFmtId="166" formatCode="0.00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48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3" xfId="0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2" fillId="0" borderId="0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166" fontId="2" fillId="0" borderId="3" xfId="0" applyNumberFormat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 applyAlignment="1"/>
    <xf numFmtId="0" fontId="0" fillId="6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D04C-B6F6-493F-BCCE-480E1382E454}">
  <dimension ref="B3:I1217"/>
  <sheetViews>
    <sheetView topLeftCell="A118" workbookViewId="0">
      <selection activeCell="H18" sqref="H18:H137"/>
    </sheetView>
  </sheetViews>
  <sheetFormatPr baseColWidth="10" defaultRowHeight="15" x14ac:dyDescent="0.25"/>
  <cols>
    <col min="5" max="5" width="17" customWidth="1"/>
    <col min="6" max="6" width="22.85546875" customWidth="1"/>
    <col min="7" max="7" width="22.28515625" customWidth="1"/>
    <col min="8" max="8" width="39.28515625" customWidth="1"/>
  </cols>
  <sheetData>
    <row r="3" spans="2:9" x14ac:dyDescent="0.25">
      <c r="B3" s="10"/>
      <c r="C3" s="27" t="s">
        <v>14</v>
      </c>
      <c r="D3" s="27"/>
      <c r="E3" s="27"/>
      <c r="F3" s="27"/>
      <c r="G3" s="27"/>
      <c r="H3" s="27"/>
      <c r="I3" s="27"/>
    </row>
    <row r="4" spans="2:9" x14ac:dyDescent="0.25">
      <c r="B4" s="10"/>
      <c r="C4" s="27"/>
      <c r="D4" s="27"/>
      <c r="E4" s="27"/>
      <c r="F4" s="27"/>
      <c r="G4" s="27"/>
      <c r="H4" s="27"/>
      <c r="I4" s="27"/>
    </row>
    <row r="5" spans="2:9" x14ac:dyDescent="0.25">
      <c r="B5" s="10"/>
      <c r="C5" s="10"/>
      <c r="D5" s="10"/>
      <c r="E5" s="10"/>
      <c r="F5" s="10"/>
      <c r="G5" s="10"/>
      <c r="H5" s="10"/>
      <c r="I5" s="10"/>
    </row>
    <row r="6" spans="2:9" ht="15.75" x14ac:dyDescent="0.25">
      <c r="B6" s="10"/>
      <c r="C6" s="10"/>
      <c r="D6" s="11" t="s">
        <v>15</v>
      </c>
      <c r="E6" s="11" t="s">
        <v>10</v>
      </c>
      <c r="F6" s="11" t="s">
        <v>16</v>
      </c>
      <c r="G6" s="12" t="s">
        <v>17</v>
      </c>
      <c r="H6" s="12" t="s">
        <v>18</v>
      </c>
      <c r="I6" s="10"/>
    </row>
    <row r="7" spans="2:9" ht="15.75" x14ac:dyDescent="0.25">
      <c r="B7" s="10"/>
      <c r="C7" s="10"/>
      <c r="D7" s="13">
        <v>9817</v>
      </c>
      <c r="E7" s="14">
        <f>IF(F10=1,515,IF(F10=2,159,IF(F10=3,269,IF(F10=4,314))))</f>
        <v>515</v>
      </c>
      <c r="F7" s="15">
        <f>POWER(2,G7)</f>
        <v>34359738368</v>
      </c>
      <c r="G7" s="15">
        <f>IF(F10=1,35,IF(F10=2,31,IF(F10=3,31,IF(F10=4,35))))</f>
        <v>35</v>
      </c>
      <c r="H7" s="15">
        <f>IF(F10=1,1,IF(F10=2,245,IF(F10=3,245,IF(F10=4,1))))</f>
        <v>1</v>
      </c>
      <c r="I7" s="10"/>
    </row>
    <row r="8" spans="2:9" x14ac:dyDescent="0.25">
      <c r="B8" s="10"/>
      <c r="C8" s="10"/>
      <c r="D8" s="10"/>
      <c r="E8" s="10"/>
      <c r="F8" s="10"/>
      <c r="G8" s="10"/>
      <c r="H8" s="10"/>
      <c r="I8" s="10"/>
    </row>
    <row r="9" spans="2:9" x14ac:dyDescent="0.25">
      <c r="B9" s="10"/>
      <c r="C9" s="16" t="s">
        <v>19</v>
      </c>
      <c r="D9" s="16" t="s">
        <v>20</v>
      </c>
      <c r="E9" s="10"/>
      <c r="F9" s="16" t="s">
        <v>21</v>
      </c>
      <c r="G9" s="10"/>
      <c r="H9" s="28" t="s">
        <v>22</v>
      </c>
      <c r="I9" s="28"/>
    </row>
    <row r="10" spans="2:9" x14ac:dyDescent="0.25">
      <c r="B10" s="10"/>
      <c r="C10" s="17">
        <v>1</v>
      </c>
      <c r="D10" s="18" t="s">
        <v>23</v>
      </c>
      <c r="E10" s="10"/>
      <c r="F10" s="29">
        <v>1</v>
      </c>
      <c r="G10" s="10"/>
      <c r="H10" s="30" t="str">
        <f>IF(F10=1,"El mejor para hacer simulaciones grandes (Simulaciones reales)",IF(F10=2,"Usando el lenguaje 2
Decente lenguaje para simular",IF(F10=3,"Usando el lengiaje 3
Para semillas pequeñas",IF(F10=4,"Interesante eleccion del lenguaje 4
Aunque es el peor de todos","el codigo no es valido"))))</f>
        <v>El mejor para hacer simulaciones grandes (Simulaciones reales)</v>
      </c>
      <c r="I10" s="30"/>
    </row>
    <row r="11" spans="2:9" x14ac:dyDescent="0.25">
      <c r="B11" s="10"/>
      <c r="C11" s="17">
        <v>2</v>
      </c>
      <c r="D11" s="18" t="s">
        <v>24</v>
      </c>
      <c r="E11" s="10"/>
      <c r="F11" s="29"/>
      <c r="G11" s="10"/>
      <c r="H11" s="30"/>
      <c r="I11" s="30"/>
    </row>
    <row r="12" spans="2:9" x14ac:dyDescent="0.25">
      <c r="B12" s="10"/>
      <c r="C12" s="17">
        <v>3</v>
      </c>
      <c r="D12" s="18" t="s">
        <v>25</v>
      </c>
      <c r="E12" s="10"/>
      <c r="F12" s="29"/>
      <c r="G12" s="10"/>
      <c r="H12" s="30"/>
      <c r="I12" s="30"/>
    </row>
    <row r="13" spans="2:9" x14ac:dyDescent="0.25">
      <c r="B13" s="10"/>
      <c r="C13" s="17">
        <v>4</v>
      </c>
      <c r="D13" s="18" t="s">
        <v>26</v>
      </c>
      <c r="E13" s="10"/>
      <c r="F13" s="29"/>
      <c r="G13" s="10"/>
      <c r="H13" s="30"/>
      <c r="I13" s="30"/>
    </row>
    <row r="14" spans="2:9" x14ac:dyDescent="0.25">
      <c r="B14" s="10"/>
      <c r="C14" s="10"/>
      <c r="D14" s="10"/>
      <c r="E14" s="10"/>
      <c r="F14" s="10"/>
      <c r="G14" s="10"/>
      <c r="H14" s="10"/>
      <c r="I14" s="10"/>
    </row>
    <row r="15" spans="2:9" x14ac:dyDescent="0.25">
      <c r="B15" s="10"/>
      <c r="C15" s="10"/>
      <c r="D15" s="10"/>
      <c r="E15" s="31" t="str">
        <f>IF(F10&lt;1,"Escoja un numero del 1 al 4",IF(F10&gt;4, "¿Por qué pones un numero alto?"," :)"))</f>
        <v xml:space="preserve"> :)</v>
      </c>
      <c r="F15" s="31"/>
      <c r="G15" s="31"/>
      <c r="H15" s="10"/>
      <c r="I15" s="10"/>
    </row>
    <row r="16" spans="2:9" x14ac:dyDescent="0.25">
      <c r="B16" s="10"/>
      <c r="C16" s="10"/>
      <c r="D16" s="10"/>
      <c r="E16" s="10"/>
      <c r="F16" s="10"/>
      <c r="G16" s="10"/>
      <c r="H16" s="10"/>
      <c r="I16" s="10"/>
    </row>
    <row r="17" spans="2:9" ht="15.75" x14ac:dyDescent="0.25">
      <c r="B17" s="10"/>
      <c r="C17" s="10"/>
      <c r="D17" s="19" t="s">
        <v>27</v>
      </c>
      <c r="E17" s="19" t="s">
        <v>28</v>
      </c>
      <c r="F17" s="19" t="s">
        <v>29</v>
      </c>
      <c r="G17" s="20" t="s">
        <v>30</v>
      </c>
      <c r="H17" s="19" t="s">
        <v>31</v>
      </c>
      <c r="I17" s="10"/>
    </row>
    <row r="18" spans="2:9" x14ac:dyDescent="0.25">
      <c r="B18" s="10"/>
      <c r="C18" s="10"/>
      <c r="D18" s="18">
        <v>1</v>
      </c>
      <c r="E18" s="21">
        <f>D7</f>
        <v>9817</v>
      </c>
      <c r="F18" s="21">
        <f>E$7 * E18 + H$7</f>
        <v>5055756</v>
      </c>
      <c r="G18" s="21">
        <f>MOD(F18,F$7)</f>
        <v>5055756</v>
      </c>
      <c r="H18" s="22">
        <f>G18/F$7</f>
        <v>1.4714186545461416E-4</v>
      </c>
      <c r="I18" s="10"/>
    </row>
    <row r="19" spans="2:9" x14ac:dyDescent="0.25">
      <c r="B19" s="10"/>
      <c r="C19" s="10"/>
      <c r="D19" s="18">
        <v>2</v>
      </c>
      <c r="E19" s="21">
        <f>G18</f>
        <v>5055756</v>
      </c>
      <c r="F19" s="21">
        <f t="shared" ref="F19:F82" si="0">E$7 * E19 + H$7</f>
        <v>2603714341</v>
      </c>
      <c r="G19" s="21">
        <f t="shared" ref="G19:G82" si="1">MOD(F19,F$7)</f>
        <v>2603714341</v>
      </c>
      <c r="H19" s="22">
        <f t="shared" ref="H19:H82" si="2">G19/F$7</f>
        <v>7.5778060738230124E-2</v>
      </c>
      <c r="I19" s="10"/>
    </row>
    <row r="20" spans="2:9" x14ac:dyDescent="0.25">
      <c r="B20" s="10"/>
      <c r="C20" s="10"/>
      <c r="D20" s="18">
        <v>3</v>
      </c>
      <c r="E20" s="21">
        <f>G19</f>
        <v>2603714341</v>
      </c>
      <c r="F20" s="21">
        <f t="shared" si="0"/>
        <v>1340912885616</v>
      </c>
      <c r="G20" s="21">
        <f t="shared" si="1"/>
        <v>883089264</v>
      </c>
      <c r="H20" s="22">
        <f t="shared" si="2"/>
        <v>2.570128021761775E-2</v>
      </c>
      <c r="I20" s="10"/>
    </row>
    <row r="21" spans="2:9" x14ac:dyDescent="0.25">
      <c r="B21" s="10"/>
      <c r="C21" s="10"/>
      <c r="D21" s="18">
        <v>4</v>
      </c>
      <c r="E21" s="21">
        <f t="shared" ref="E21:E28" si="3">G20</f>
        <v>883089264</v>
      </c>
      <c r="F21" s="21">
        <f t="shared" si="0"/>
        <v>454790970961</v>
      </c>
      <c r="G21" s="21">
        <f t="shared" si="1"/>
        <v>8114372177</v>
      </c>
      <c r="H21" s="22">
        <f t="shared" si="2"/>
        <v>0.23615931210224517</v>
      </c>
      <c r="I21" s="10"/>
    </row>
    <row r="22" spans="2:9" x14ac:dyDescent="0.25">
      <c r="B22" s="10"/>
      <c r="C22" s="10"/>
      <c r="D22" s="18">
        <v>5</v>
      </c>
      <c r="E22" s="21">
        <f t="shared" si="3"/>
        <v>8114372177</v>
      </c>
      <c r="F22" s="21">
        <f t="shared" si="0"/>
        <v>4178901671156</v>
      </c>
      <c r="G22" s="21">
        <f t="shared" si="1"/>
        <v>21373328628</v>
      </c>
      <c r="H22" s="22">
        <f t="shared" si="2"/>
        <v>0.62204573268536478</v>
      </c>
      <c r="I22" s="10"/>
    </row>
    <row r="23" spans="2:9" x14ac:dyDescent="0.25">
      <c r="B23" s="10"/>
      <c r="C23" s="10"/>
      <c r="D23" s="18">
        <v>6</v>
      </c>
      <c r="E23" s="21">
        <f t="shared" si="3"/>
        <v>21373328628</v>
      </c>
      <c r="F23" s="21">
        <f t="shared" si="0"/>
        <v>11007264243421</v>
      </c>
      <c r="G23" s="21">
        <f t="shared" si="1"/>
        <v>12147965661</v>
      </c>
      <c r="H23" s="22">
        <f t="shared" si="2"/>
        <v>0.35355233299196698</v>
      </c>
      <c r="I23" s="10"/>
    </row>
    <row r="24" spans="2:9" x14ac:dyDescent="0.25">
      <c r="B24" s="10"/>
      <c r="C24" s="10"/>
      <c r="D24" s="18">
        <v>7</v>
      </c>
      <c r="E24" s="21">
        <f t="shared" si="3"/>
        <v>12147965661</v>
      </c>
      <c r="F24" s="21">
        <f t="shared" si="0"/>
        <v>6256202315416</v>
      </c>
      <c r="G24" s="21">
        <f t="shared" si="1"/>
        <v>2729932440</v>
      </c>
      <c r="H24" s="22">
        <f t="shared" si="2"/>
        <v>7.9451490892097354E-2</v>
      </c>
      <c r="I24" s="10"/>
    </row>
    <row r="25" spans="2:9" x14ac:dyDescent="0.25">
      <c r="B25" s="10"/>
      <c r="C25" s="10"/>
      <c r="D25" s="18">
        <v>8</v>
      </c>
      <c r="E25" s="21">
        <f t="shared" si="3"/>
        <v>2729932440</v>
      </c>
      <c r="F25" s="21">
        <f t="shared" si="0"/>
        <v>1405915206601</v>
      </c>
      <c r="G25" s="21">
        <f t="shared" si="1"/>
        <v>31525671881</v>
      </c>
      <c r="H25" s="22">
        <f t="shared" si="2"/>
        <v>0.91751780945924111</v>
      </c>
      <c r="I25" s="10"/>
    </row>
    <row r="26" spans="2:9" x14ac:dyDescent="0.25">
      <c r="B26" s="10"/>
      <c r="C26" s="10"/>
      <c r="D26" s="18">
        <v>9</v>
      </c>
      <c r="E26" s="21">
        <f t="shared" si="3"/>
        <v>31525671881</v>
      </c>
      <c r="F26" s="21">
        <f t="shared" si="0"/>
        <v>16235721018716</v>
      </c>
      <c r="G26" s="21">
        <f t="shared" si="1"/>
        <v>17924509020</v>
      </c>
      <c r="H26" s="22">
        <f t="shared" si="2"/>
        <v>0.52167187153827399</v>
      </c>
      <c r="I26" s="10"/>
    </row>
    <row r="27" spans="2:9" x14ac:dyDescent="0.25">
      <c r="B27" s="10"/>
      <c r="C27" s="10"/>
      <c r="D27" s="18">
        <v>10</v>
      </c>
      <c r="E27" s="21">
        <f t="shared" si="3"/>
        <v>17924509020</v>
      </c>
      <c r="F27" s="21">
        <f t="shared" si="0"/>
        <v>9231122145301</v>
      </c>
      <c r="G27" s="21">
        <f t="shared" si="1"/>
        <v>22712262677</v>
      </c>
      <c r="H27" s="22">
        <f t="shared" si="2"/>
        <v>0.66101384224020876</v>
      </c>
      <c r="I27" s="10"/>
    </row>
    <row r="28" spans="2:9" x14ac:dyDescent="0.25">
      <c r="B28" s="10"/>
      <c r="C28" s="10"/>
      <c r="D28" s="18">
        <v>11</v>
      </c>
      <c r="E28" s="21">
        <f t="shared" si="3"/>
        <v>22712262677</v>
      </c>
      <c r="F28" s="21">
        <f t="shared" si="0"/>
        <v>11696815278656</v>
      </c>
      <c r="G28" s="21">
        <f t="shared" si="1"/>
        <v>14504233536</v>
      </c>
      <c r="H28" s="22">
        <f t="shared" si="2"/>
        <v>0.42212875373661518</v>
      </c>
      <c r="I28" s="10"/>
    </row>
    <row r="29" spans="2:9" x14ac:dyDescent="0.25">
      <c r="B29" s="10"/>
      <c r="C29" s="10"/>
      <c r="D29" s="18">
        <v>12</v>
      </c>
      <c r="E29" s="21">
        <f>G28</f>
        <v>14504233536</v>
      </c>
      <c r="F29" s="21">
        <f t="shared" si="0"/>
        <v>7469680271041</v>
      </c>
      <c r="G29" s="21">
        <f t="shared" si="1"/>
        <v>13617045185</v>
      </c>
      <c r="H29" s="22">
        <f t="shared" si="2"/>
        <v>0.39630817438592203</v>
      </c>
      <c r="I29" s="10"/>
    </row>
    <row r="30" spans="2:9" x14ac:dyDescent="0.25">
      <c r="B30" s="10"/>
      <c r="C30" s="10"/>
      <c r="D30" s="18">
        <v>13</v>
      </c>
      <c r="E30" s="21">
        <f t="shared" ref="E30:E93" si="4">G29</f>
        <v>13617045185</v>
      </c>
      <c r="F30" s="21">
        <f t="shared" si="0"/>
        <v>7012778270276</v>
      </c>
      <c r="G30" s="21">
        <f t="shared" si="1"/>
        <v>3391643204</v>
      </c>
      <c r="H30" s="22">
        <f t="shared" si="2"/>
        <v>9.8709808778949082E-2</v>
      </c>
      <c r="I30" s="10"/>
    </row>
    <row r="31" spans="2:9" x14ac:dyDescent="0.25">
      <c r="B31" s="10"/>
      <c r="C31" s="10"/>
      <c r="D31" s="18">
        <v>14</v>
      </c>
      <c r="E31" s="21">
        <f t="shared" si="4"/>
        <v>3391643204</v>
      </c>
      <c r="F31" s="21">
        <f t="shared" si="0"/>
        <v>1746696250061</v>
      </c>
      <c r="G31" s="21">
        <f t="shared" si="1"/>
        <v>28709331661</v>
      </c>
      <c r="H31" s="22">
        <f t="shared" si="2"/>
        <v>0.83555152118788101</v>
      </c>
      <c r="I31" s="10"/>
    </row>
    <row r="32" spans="2:9" x14ac:dyDescent="0.25">
      <c r="B32" s="10"/>
      <c r="C32" s="10"/>
      <c r="D32" s="18">
        <v>15</v>
      </c>
      <c r="E32" s="21">
        <f t="shared" si="4"/>
        <v>28709331661</v>
      </c>
      <c r="F32" s="21">
        <f t="shared" si="0"/>
        <v>14785305805416</v>
      </c>
      <c r="G32" s="21">
        <f t="shared" si="1"/>
        <v>10618307176</v>
      </c>
      <c r="H32" s="22">
        <f t="shared" si="2"/>
        <v>0.30903341178782284</v>
      </c>
      <c r="I32" s="10"/>
    </row>
    <row r="33" spans="2:9" x14ac:dyDescent="0.25">
      <c r="B33" s="10"/>
      <c r="C33" s="10"/>
      <c r="D33" s="18">
        <v>16</v>
      </c>
      <c r="E33" s="21">
        <f t="shared" si="4"/>
        <v>10618307176</v>
      </c>
      <c r="F33" s="21">
        <f t="shared" si="0"/>
        <v>5468428195641</v>
      </c>
      <c r="G33" s="21">
        <f t="shared" si="1"/>
        <v>5229795129</v>
      </c>
      <c r="H33" s="22">
        <f t="shared" si="2"/>
        <v>0.15220707075786777</v>
      </c>
      <c r="I33" s="10"/>
    </row>
    <row r="34" spans="2:9" x14ac:dyDescent="0.25">
      <c r="B34" s="10"/>
      <c r="C34" s="10"/>
      <c r="D34" s="18">
        <v>17</v>
      </c>
      <c r="E34" s="21">
        <f t="shared" si="4"/>
        <v>5229795129</v>
      </c>
      <c r="F34" s="21">
        <f t="shared" si="0"/>
        <v>2693344491436</v>
      </c>
      <c r="G34" s="21">
        <f t="shared" si="1"/>
        <v>13284898732</v>
      </c>
      <c r="H34" s="22">
        <f t="shared" si="2"/>
        <v>0.38664144033100456</v>
      </c>
      <c r="I34" s="10"/>
    </row>
    <row r="35" spans="2:9" x14ac:dyDescent="0.25">
      <c r="B35" s="10"/>
      <c r="C35" s="10"/>
      <c r="D35" s="18">
        <v>18</v>
      </c>
      <c r="E35" s="21">
        <f t="shared" si="4"/>
        <v>13284898732</v>
      </c>
      <c r="F35" s="21">
        <f t="shared" si="0"/>
        <v>6841722846981</v>
      </c>
      <c r="G35" s="21">
        <f t="shared" si="1"/>
        <v>4134911749</v>
      </c>
      <c r="H35" s="22">
        <f t="shared" si="2"/>
        <v>0.12034177049645223</v>
      </c>
      <c r="I35" s="10"/>
    </row>
    <row r="36" spans="2:9" x14ac:dyDescent="0.25">
      <c r="B36" s="10"/>
      <c r="C36" s="10"/>
      <c r="D36" s="18">
        <v>19</v>
      </c>
      <c r="E36" s="21">
        <f t="shared" si="4"/>
        <v>4134911749</v>
      </c>
      <c r="F36" s="21">
        <f t="shared" si="0"/>
        <v>2129479550736</v>
      </c>
      <c r="G36" s="21">
        <f t="shared" si="1"/>
        <v>33535510288</v>
      </c>
      <c r="H36" s="22">
        <f t="shared" si="2"/>
        <v>0.97601180570200086</v>
      </c>
      <c r="I36" s="10"/>
    </row>
    <row r="37" spans="2:9" x14ac:dyDescent="0.25">
      <c r="B37" s="10"/>
      <c r="C37" s="10"/>
      <c r="D37" s="18">
        <v>20</v>
      </c>
      <c r="E37" s="21">
        <f t="shared" si="4"/>
        <v>33535510288</v>
      </c>
      <c r="F37" s="21">
        <f t="shared" si="0"/>
        <v>17270787798321</v>
      </c>
      <c r="G37" s="21">
        <f t="shared" si="1"/>
        <v>22199137585</v>
      </c>
      <c r="H37" s="22">
        <f t="shared" si="2"/>
        <v>0.64607993655954488</v>
      </c>
      <c r="I37" s="10"/>
    </row>
    <row r="38" spans="2:9" x14ac:dyDescent="0.25">
      <c r="B38" s="10"/>
      <c r="C38" s="10"/>
      <c r="D38" s="18">
        <v>21</v>
      </c>
      <c r="E38" s="21">
        <f t="shared" si="4"/>
        <v>22199137585</v>
      </c>
      <c r="F38" s="21">
        <f t="shared" si="0"/>
        <v>11432555856276</v>
      </c>
      <c r="G38" s="21">
        <f t="shared" si="1"/>
        <v>25122718100</v>
      </c>
      <c r="H38" s="22">
        <f t="shared" si="2"/>
        <v>0.73116732819471508</v>
      </c>
      <c r="I38" s="10"/>
    </row>
    <row r="39" spans="2:9" x14ac:dyDescent="0.25">
      <c r="B39" s="10"/>
      <c r="C39" s="10"/>
      <c r="D39" s="18">
        <v>22</v>
      </c>
      <c r="E39" s="21">
        <f t="shared" si="4"/>
        <v>25122718100</v>
      </c>
      <c r="F39" s="21">
        <f t="shared" si="0"/>
        <v>12938199821501</v>
      </c>
      <c r="G39" s="21">
        <f t="shared" si="1"/>
        <v>18938195133</v>
      </c>
      <c r="H39" s="22">
        <f t="shared" si="2"/>
        <v>0.55117402030737139</v>
      </c>
      <c r="I39" s="10"/>
    </row>
    <row r="40" spans="2:9" x14ac:dyDescent="0.25">
      <c r="B40" s="10"/>
      <c r="C40" s="10"/>
      <c r="D40" s="18">
        <v>23</v>
      </c>
      <c r="E40" s="21">
        <f t="shared" si="4"/>
        <v>18938195133</v>
      </c>
      <c r="F40" s="21">
        <f t="shared" si="0"/>
        <v>9753170493496</v>
      </c>
      <c r="G40" s="21">
        <f t="shared" si="1"/>
        <v>29364535352</v>
      </c>
      <c r="H40" s="22">
        <f t="shared" si="2"/>
        <v>0.85462045832537115</v>
      </c>
      <c r="I40" s="10"/>
    </row>
    <row r="41" spans="2:9" x14ac:dyDescent="0.25">
      <c r="B41" s="10"/>
      <c r="C41" s="10"/>
      <c r="D41" s="18">
        <v>24</v>
      </c>
      <c r="E41" s="21">
        <f t="shared" si="4"/>
        <v>29364535352</v>
      </c>
      <c r="F41" s="21">
        <f t="shared" si="0"/>
        <v>15122735706281</v>
      </c>
      <c r="G41" s="21">
        <f t="shared" si="1"/>
        <v>4450824361</v>
      </c>
      <c r="H41" s="22">
        <f t="shared" si="2"/>
        <v>0.12953603759524412</v>
      </c>
      <c r="I41" s="10"/>
    </row>
    <row r="42" spans="2:9" x14ac:dyDescent="0.25">
      <c r="B42" s="10"/>
      <c r="C42" s="10"/>
      <c r="D42" s="18">
        <v>25</v>
      </c>
      <c r="E42" s="21">
        <f t="shared" si="4"/>
        <v>4450824361</v>
      </c>
      <c r="F42" s="21">
        <f t="shared" si="0"/>
        <v>2292174545916</v>
      </c>
      <c r="G42" s="21">
        <f t="shared" si="1"/>
        <v>24431813628</v>
      </c>
      <c r="H42" s="22">
        <f t="shared" si="2"/>
        <v>0.71105936157982796</v>
      </c>
      <c r="I42" s="10"/>
    </row>
    <row r="43" spans="2:9" x14ac:dyDescent="0.25">
      <c r="B43" s="10"/>
      <c r="C43" s="10"/>
      <c r="D43" s="18">
        <v>26</v>
      </c>
      <c r="E43" s="21">
        <f t="shared" si="4"/>
        <v>24431813628</v>
      </c>
      <c r="F43" s="21">
        <f t="shared" si="0"/>
        <v>12582384018421</v>
      </c>
      <c r="G43" s="21">
        <f t="shared" si="1"/>
        <v>6719775733</v>
      </c>
      <c r="H43" s="22">
        <f t="shared" si="2"/>
        <v>0.19557121364050545</v>
      </c>
      <c r="I43" s="10"/>
    </row>
    <row r="44" spans="2:9" x14ac:dyDescent="0.25">
      <c r="B44" s="10"/>
      <c r="C44" s="10"/>
      <c r="D44" s="18">
        <v>27</v>
      </c>
      <c r="E44" s="21">
        <f t="shared" si="4"/>
        <v>6719775733</v>
      </c>
      <c r="F44" s="21">
        <f t="shared" si="0"/>
        <v>3460684502496</v>
      </c>
      <c r="G44" s="21">
        <f t="shared" si="1"/>
        <v>24710665696</v>
      </c>
      <c r="H44" s="22">
        <f t="shared" si="2"/>
        <v>0.71917502488940954</v>
      </c>
      <c r="I44" s="10"/>
    </row>
    <row r="45" spans="2:9" x14ac:dyDescent="0.25">
      <c r="B45" s="10"/>
      <c r="C45" s="10"/>
      <c r="D45" s="18">
        <v>28</v>
      </c>
      <c r="E45" s="21">
        <f t="shared" si="4"/>
        <v>24710665696</v>
      </c>
      <c r="F45" s="21">
        <f t="shared" si="0"/>
        <v>12725992833441</v>
      </c>
      <c r="G45" s="21">
        <f t="shared" si="1"/>
        <v>12889637281</v>
      </c>
      <c r="H45" s="22">
        <f t="shared" si="2"/>
        <v>0.375137818075018</v>
      </c>
      <c r="I45" s="10"/>
    </row>
    <row r="46" spans="2:9" x14ac:dyDescent="0.25">
      <c r="B46" s="10"/>
      <c r="C46" s="10"/>
      <c r="D46" s="18">
        <v>29</v>
      </c>
      <c r="E46" s="21">
        <f t="shared" si="4"/>
        <v>12889637281</v>
      </c>
      <c r="F46" s="21">
        <f t="shared" si="0"/>
        <v>6638163199716</v>
      </c>
      <c r="G46" s="21">
        <f t="shared" si="1"/>
        <v>6733694692</v>
      </c>
      <c r="H46" s="22">
        <f t="shared" si="2"/>
        <v>0.19597630866337568</v>
      </c>
      <c r="I46" s="10"/>
    </row>
    <row r="47" spans="2:9" x14ac:dyDescent="0.25">
      <c r="B47" s="10"/>
      <c r="C47" s="10"/>
      <c r="D47" s="18">
        <v>30</v>
      </c>
      <c r="E47" s="21">
        <f t="shared" si="4"/>
        <v>6733694692</v>
      </c>
      <c r="F47" s="21">
        <f t="shared" si="0"/>
        <v>3467852766381</v>
      </c>
      <c r="G47" s="21">
        <f t="shared" si="1"/>
        <v>31878929581</v>
      </c>
      <c r="H47" s="22">
        <f t="shared" si="2"/>
        <v>0.9277989616675768</v>
      </c>
      <c r="I47" s="10"/>
    </row>
    <row r="48" spans="2:9" x14ac:dyDescent="0.25">
      <c r="B48" s="10"/>
      <c r="C48" s="10"/>
      <c r="D48" s="18">
        <v>31</v>
      </c>
      <c r="E48" s="21">
        <f t="shared" si="4"/>
        <v>31878929581</v>
      </c>
      <c r="F48" s="21">
        <f t="shared" si="0"/>
        <v>16417648734216</v>
      </c>
      <c r="G48" s="21">
        <f t="shared" si="1"/>
        <v>28053532680</v>
      </c>
      <c r="H48" s="22">
        <f t="shared" si="2"/>
        <v>0.81646525883115828</v>
      </c>
      <c r="I48" s="10"/>
    </row>
    <row r="49" spans="2:9" x14ac:dyDescent="0.25">
      <c r="B49" s="10"/>
      <c r="C49" s="10"/>
      <c r="D49" s="18">
        <v>32</v>
      </c>
      <c r="E49" s="21">
        <f t="shared" si="4"/>
        <v>28053532680</v>
      </c>
      <c r="F49" s="21">
        <f t="shared" si="0"/>
        <v>14447569330201</v>
      </c>
      <c r="G49" s="21">
        <f t="shared" si="1"/>
        <v>16479215641</v>
      </c>
      <c r="H49" s="22">
        <f t="shared" si="2"/>
        <v>0.47960829807561822</v>
      </c>
      <c r="I49" s="10"/>
    </row>
    <row r="50" spans="2:9" x14ac:dyDescent="0.25">
      <c r="B50" s="10"/>
      <c r="C50" s="10"/>
      <c r="D50" s="18">
        <v>33</v>
      </c>
      <c r="E50" s="21">
        <f t="shared" si="4"/>
        <v>16479215641</v>
      </c>
      <c r="F50" s="21">
        <f t="shared" si="0"/>
        <v>8486796055116</v>
      </c>
      <c r="G50" s="21">
        <f t="shared" si="1"/>
        <v>34300416588</v>
      </c>
      <c r="H50" s="22">
        <f t="shared" si="2"/>
        <v>0.99827350897248834</v>
      </c>
      <c r="I50" s="10"/>
    </row>
    <row r="51" spans="2:9" x14ac:dyDescent="0.25">
      <c r="B51" s="10"/>
      <c r="C51" s="10"/>
      <c r="D51" s="18">
        <v>34</v>
      </c>
      <c r="E51" s="21">
        <f t="shared" si="4"/>
        <v>34300416588</v>
      </c>
      <c r="F51" s="21">
        <f t="shared" si="0"/>
        <v>17664714542821</v>
      </c>
      <c r="G51" s="21">
        <f t="shared" si="1"/>
        <v>3809021669</v>
      </c>
      <c r="H51" s="22">
        <f t="shared" si="2"/>
        <v>0.11085712086060084</v>
      </c>
      <c r="I51" s="10"/>
    </row>
    <row r="52" spans="2:9" x14ac:dyDescent="0.25">
      <c r="B52" s="10"/>
      <c r="C52" s="10"/>
      <c r="D52" s="18">
        <v>35</v>
      </c>
      <c r="E52" s="21">
        <f t="shared" si="4"/>
        <v>3809021669</v>
      </c>
      <c r="F52" s="21">
        <f t="shared" si="0"/>
        <v>1961646159536</v>
      </c>
      <c r="G52" s="21">
        <f t="shared" si="1"/>
        <v>3141072560</v>
      </c>
      <c r="H52" s="22">
        <f t="shared" si="2"/>
        <v>9.1417243238538504E-2</v>
      </c>
      <c r="I52" s="10"/>
    </row>
    <row r="53" spans="2:9" x14ac:dyDescent="0.25">
      <c r="B53" s="10"/>
      <c r="C53" s="10"/>
      <c r="D53" s="18">
        <v>36</v>
      </c>
      <c r="E53" s="21">
        <f t="shared" si="4"/>
        <v>3141072560</v>
      </c>
      <c r="F53" s="21">
        <f t="shared" si="0"/>
        <v>1617652368401</v>
      </c>
      <c r="G53" s="21">
        <f t="shared" si="1"/>
        <v>2744665105</v>
      </c>
      <c r="H53" s="22">
        <f t="shared" si="2"/>
        <v>7.9880267876433209E-2</v>
      </c>
      <c r="I53" s="10"/>
    </row>
    <row r="54" spans="2:9" x14ac:dyDescent="0.25">
      <c r="B54" s="10"/>
      <c r="C54" s="10"/>
      <c r="D54" s="18">
        <v>37</v>
      </c>
      <c r="E54" s="21">
        <f t="shared" si="4"/>
        <v>2744665105</v>
      </c>
      <c r="F54" s="21">
        <f t="shared" si="0"/>
        <v>1413502529076</v>
      </c>
      <c r="G54" s="21">
        <f t="shared" si="1"/>
        <v>4753255988</v>
      </c>
      <c r="H54" s="22">
        <f t="shared" si="2"/>
        <v>0.13833795639220625</v>
      </c>
      <c r="I54" s="10"/>
    </row>
    <row r="55" spans="2:9" x14ac:dyDescent="0.25">
      <c r="B55" s="10"/>
      <c r="C55" s="10"/>
      <c r="D55" s="18">
        <v>38</v>
      </c>
      <c r="E55" s="21">
        <f t="shared" si="4"/>
        <v>4753255988</v>
      </c>
      <c r="F55" s="21">
        <f t="shared" si="0"/>
        <v>2447926833821</v>
      </c>
      <c r="G55" s="21">
        <f t="shared" si="1"/>
        <v>8385409693</v>
      </c>
      <c r="H55" s="22">
        <f t="shared" si="2"/>
        <v>0.24404754201532342</v>
      </c>
      <c r="I55" s="10"/>
    </row>
    <row r="56" spans="2:9" x14ac:dyDescent="0.25">
      <c r="B56" s="10"/>
      <c r="C56" s="10"/>
      <c r="D56" s="18">
        <v>39</v>
      </c>
      <c r="E56" s="21">
        <f t="shared" si="4"/>
        <v>8385409693</v>
      </c>
      <c r="F56" s="21">
        <f t="shared" si="0"/>
        <v>4318485991896</v>
      </c>
      <c r="G56" s="21">
        <f t="shared" si="1"/>
        <v>23518695896</v>
      </c>
      <c r="H56" s="22">
        <f t="shared" si="2"/>
        <v>0.68448413792066276</v>
      </c>
      <c r="I56" s="10"/>
    </row>
    <row r="57" spans="2:9" x14ac:dyDescent="0.25">
      <c r="B57" s="10"/>
      <c r="C57" s="10"/>
      <c r="D57" s="18">
        <v>40</v>
      </c>
      <c r="E57" s="21">
        <f t="shared" si="4"/>
        <v>23518695896</v>
      </c>
      <c r="F57" s="21">
        <f t="shared" si="0"/>
        <v>12112128386441</v>
      </c>
      <c r="G57" s="21">
        <f t="shared" si="1"/>
        <v>17500480905</v>
      </c>
      <c r="H57" s="22">
        <f t="shared" si="2"/>
        <v>0.50933102917042561</v>
      </c>
      <c r="I57" s="10"/>
    </row>
    <row r="58" spans="2:9" x14ac:dyDescent="0.25">
      <c r="B58" s="10"/>
      <c r="C58" s="10"/>
      <c r="D58" s="18">
        <v>41</v>
      </c>
      <c r="E58" s="21">
        <f t="shared" si="4"/>
        <v>17500480905</v>
      </c>
      <c r="F58" s="21">
        <f t="shared" si="0"/>
        <v>9012747666076</v>
      </c>
      <c r="G58" s="21">
        <f t="shared" si="1"/>
        <v>10496213660</v>
      </c>
      <c r="H58" s="22">
        <f t="shared" si="2"/>
        <v>0.30548002279829234</v>
      </c>
      <c r="I58" s="10"/>
    </row>
    <row r="59" spans="2:9" x14ac:dyDescent="0.25">
      <c r="B59" s="10"/>
      <c r="C59" s="10"/>
      <c r="D59" s="18">
        <v>42</v>
      </c>
      <c r="E59" s="21">
        <f t="shared" si="4"/>
        <v>10496213660</v>
      </c>
      <c r="F59" s="21">
        <f t="shared" si="0"/>
        <v>5405550034901</v>
      </c>
      <c r="G59" s="21">
        <f t="shared" si="1"/>
        <v>11071111125</v>
      </c>
      <c r="H59" s="22">
        <f t="shared" si="2"/>
        <v>0.32221174114965834</v>
      </c>
      <c r="I59" s="10"/>
    </row>
    <row r="60" spans="2:9" x14ac:dyDescent="0.25">
      <c r="B60" s="10"/>
      <c r="C60" s="10"/>
      <c r="D60" s="18">
        <v>43</v>
      </c>
      <c r="E60" s="21">
        <f t="shared" si="4"/>
        <v>11071111125</v>
      </c>
      <c r="F60" s="21">
        <f t="shared" si="0"/>
        <v>5701622229376</v>
      </c>
      <c r="G60" s="21">
        <f t="shared" si="1"/>
        <v>32265398656</v>
      </c>
      <c r="H60" s="22">
        <f t="shared" si="2"/>
        <v>0.93904669210314751</v>
      </c>
      <c r="I60" s="10"/>
    </row>
    <row r="61" spans="2:9" x14ac:dyDescent="0.25">
      <c r="B61" s="10"/>
      <c r="C61" s="10"/>
      <c r="D61" s="18">
        <v>44</v>
      </c>
      <c r="E61" s="21">
        <f t="shared" si="4"/>
        <v>32265398656</v>
      </c>
      <c r="F61" s="21">
        <f t="shared" si="0"/>
        <v>16616680307841</v>
      </c>
      <c r="G61" s="21">
        <f t="shared" si="1"/>
        <v>20926676097</v>
      </c>
      <c r="H61" s="22">
        <f t="shared" si="2"/>
        <v>0.60904643315006979</v>
      </c>
      <c r="I61" s="10"/>
    </row>
    <row r="62" spans="2:9" x14ac:dyDescent="0.25">
      <c r="B62" s="10"/>
      <c r="C62" s="10"/>
      <c r="D62" s="18">
        <v>45</v>
      </c>
      <c r="E62" s="21">
        <f t="shared" si="4"/>
        <v>20926676097</v>
      </c>
      <c r="F62" s="21">
        <f t="shared" si="0"/>
        <v>10777238189956</v>
      </c>
      <c r="G62" s="21">
        <f t="shared" si="1"/>
        <v>22640080772</v>
      </c>
      <c r="H62" s="22">
        <f t="shared" si="2"/>
        <v>0.6589130723150447</v>
      </c>
      <c r="I62" s="10"/>
    </row>
    <row r="63" spans="2:9" x14ac:dyDescent="0.25">
      <c r="B63" s="10"/>
      <c r="C63" s="10"/>
      <c r="D63" s="18">
        <v>46</v>
      </c>
      <c r="E63" s="21">
        <f t="shared" si="4"/>
        <v>22640080772</v>
      </c>
      <c r="F63" s="21">
        <f t="shared" si="0"/>
        <v>11659641597581</v>
      </c>
      <c r="G63" s="21">
        <f t="shared" si="1"/>
        <v>11690290829</v>
      </c>
      <c r="H63" s="22">
        <f t="shared" si="2"/>
        <v>0.3402322422771249</v>
      </c>
      <c r="I63" s="10"/>
    </row>
    <row r="64" spans="2:9" x14ac:dyDescent="0.25">
      <c r="B64" s="10"/>
      <c r="C64" s="10"/>
      <c r="D64" s="18">
        <v>47</v>
      </c>
      <c r="E64" s="21">
        <f t="shared" si="4"/>
        <v>11690290829</v>
      </c>
      <c r="F64" s="21">
        <f t="shared" si="0"/>
        <v>6020499776936</v>
      </c>
      <c r="G64" s="21">
        <f t="shared" si="1"/>
        <v>7545562536</v>
      </c>
      <c r="H64" s="22">
        <f t="shared" si="2"/>
        <v>0.2196047727484256</v>
      </c>
      <c r="I64" s="10"/>
    </row>
    <row r="65" spans="2:9" x14ac:dyDescent="0.25">
      <c r="B65" s="10"/>
      <c r="C65" s="10"/>
      <c r="D65" s="18">
        <v>48</v>
      </c>
      <c r="E65" s="21">
        <f t="shared" si="4"/>
        <v>7545562536</v>
      </c>
      <c r="F65" s="21">
        <f t="shared" si="0"/>
        <v>3885964706041</v>
      </c>
      <c r="G65" s="21">
        <f t="shared" si="1"/>
        <v>3314270457</v>
      </c>
      <c r="H65" s="22">
        <f t="shared" si="2"/>
        <v>9.6457965468289331E-2</v>
      </c>
      <c r="I65" s="10"/>
    </row>
    <row r="66" spans="2:9" x14ac:dyDescent="0.25">
      <c r="B66" s="10"/>
      <c r="C66" s="10"/>
      <c r="D66" s="18">
        <v>49</v>
      </c>
      <c r="E66" s="21">
        <f t="shared" si="4"/>
        <v>3314270457</v>
      </c>
      <c r="F66" s="21">
        <f t="shared" si="0"/>
        <v>1706849285356</v>
      </c>
      <c r="G66" s="21">
        <f t="shared" si="1"/>
        <v>23222105324</v>
      </c>
      <c r="H66" s="22">
        <f t="shared" si="2"/>
        <v>0.67585221619810909</v>
      </c>
      <c r="I66" s="10"/>
    </row>
    <row r="67" spans="2:9" x14ac:dyDescent="0.25">
      <c r="B67" s="10"/>
      <c r="C67" s="10"/>
      <c r="D67" s="18">
        <v>50</v>
      </c>
      <c r="E67" s="21">
        <f t="shared" si="4"/>
        <v>23222105324</v>
      </c>
      <c r="F67" s="21">
        <f t="shared" si="0"/>
        <v>11959384241861</v>
      </c>
      <c r="G67" s="21">
        <f t="shared" si="1"/>
        <v>2195289797</v>
      </c>
      <c r="H67" s="22">
        <f t="shared" si="2"/>
        <v>6.3891342055285349E-2</v>
      </c>
      <c r="I67" s="10"/>
    </row>
    <row r="68" spans="2:9" x14ac:dyDescent="0.25">
      <c r="B68" s="10"/>
      <c r="C68" s="10"/>
      <c r="D68" s="18">
        <v>51</v>
      </c>
      <c r="E68" s="21">
        <f t="shared" si="4"/>
        <v>2195289797</v>
      </c>
      <c r="F68" s="21">
        <f t="shared" si="0"/>
        <v>1130574245456</v>
      </c>
      <c r="G68" s="21">
        <f t="shared" si="1"/>
        <v>31062617680</v>
      </c>
      <c r="H68" s="22">
        <f t="shared" si="2"/>
        <v>0.90404115850105882</v>
      </c>
      <c r="I68" s="10"/>
    </row>
    <row r="69" spans="2:9" x14ac:dyDescent="0.25">
      <c r="B69" s="10"/>
      <c r="C69" s="10"/>
      <c r="D69" s="18">
        <v>52</v>
      </c>
      <c r="E69" s="21">
        <f t="shared" si="4"/>
        <v>31062617680</v>
      </c>
      <c r="F69" s="21">
        <f t="shared" si="0"/>
        <v>15997248105201</v>
      </c>
      <c r="G69" s="21">
        <f t="shared" si="1"/>
        <v>19969764081</v>
      </c>
      <c r="H69" s="22">
        <f t="shared" si="2"/>
        <v>0.58119662807439454</v>
      </c>
      <c r="I69" s="10"/>
    </row>
    <row r="70" spans="2:9" x14ac:dyDescent="0.25">
      <c r="B70" s="10"/>
      <c r="C70" s="10"/>
      <c r="D70" s="18">
        <v>53</v>
      </c>
      <c r="E70" s="21">
        <f t="shared" si="4"/>
        <v>19969764081</v>
      </c>
      <c r="F70" s="21">
        <f t="shared" si="0"/>
        <v>10284428501716</v>
      </c>
      <c r="G70" s="21">
        <f t="shared" si="1"/>
        <v>10866729684</v>
      </c>
      <c r="H70" s="22">
        <f t="shared" si="2"/>
        <v>0.31626345834229141</v>
      </c>
      <c r="I70" s="10"/>
    </row>
    <row r="71" spans="2:9" x14ac:dyDescent="0.25">
      <c r="B71" s="10"/>
      <c r="C71" s="10"/>
      <c r="D71" s="18">
        <v>54</v>
      </c>
      <c r="E71" s="21">
        <f t="shared" si="4"/>
        <v>10866729684</v>
      </c>
      <c r="F71" s="21">
        <f t="shared" si="0"/>
        <v>5596365787261</v>
      </c>
      <c r="G71" s="21">
        <f t="shared" si="1"/>
        <v>30088171645</v>
      </c>
      <c r="H71" s="22">
        <f t="shared" si="2"/>
        <v>0.87568104630918242</v>
      </c>
      <c r="I71" s="10"/>
    </row>
    <row r="72" spans="2:9" x14ac:dyDescent="0.25">
      <c r="B72" s="10"/>
      <c r="C72" s="10"/>
      <c r="D72" s="18">
        <v>55</v>
      </c>
      <c r="E72" s="21">
        <f t="shared" si="4"/>
        <v>30088171645</v>
      </c>
      <c r="F72" s="21">
        <f t="shared" si="0"/>
        <v>15495408397176</v>
      </c>
      <c r="G72" s="21">
        <f t="shared" si="1"/>
        <v>33526131576</v>
      </c>
      <c r="H72" s="22">
        <f t="shared" si="2"/>
        <v>0.97573884925805032</v>
      </c>
      <c r="I72" s="10"/>
    </row>
    <row r="73" spans="2:9" x14ac:dyDescent="0.25">
      <c r="B73" s="10"/>
      <c r="C73" s="10"/>
      <c r="D73" s="18">
        <v>56</v>
      </c>
      <c r="E73" s="21">
        <f t="shared" si="4"/>
        <v>33526131576</v>
      </c>
      <c r="F73" s="21">
        <f t="shared" si="0"/>
        <v>17265957761641</v>
      </c>
      <c r="G73" s="21">
        <f t="shared" si="1"/>
        <v>17369100905</v>
      </c>
      <c r="H73" s="22">
        <f t="shared" si="2"/>
        <v>0.50550736792501993</v>
      </c>
      <c r="I73" s="10"/>
    </row>
    <row r="74" spans="2:9" x14ac:dyDescent="0.25">
      <c r="B74" s="10"/>
      <c r="C74" s="10"/>
      <c r="D74" s="18">
        <v>57</v>
      </c>
      <c r="E74" s="21">
        <f t="shared" si="4"/>
        <v>17369100905</v>
      </c>
      <c r="F74" s="21">
        <f t="shared" si="0"/>
        <v>8945086966076</v>
      </c>
      <c r="G74" s="21">
        <f t="shared" si="1"/>
        <v>11554990396</v>
      </c>
      <c r="H74" s="22">
        <f t="shared" si="2"/>
        <v>0.33629448141437024</v>
      </c>
      <c r="I74" s="10"/>
    </row>
    <row r="75" spans="2:9" x14ac:dyDescent="0.25">
      <c r="B75" s="10"/>
      <c r="C75" s="10"/>
      <c r="D75" s="18">
        <v>58</v>
      </c>
      <c r="E75" s="21">
        <f t="shared" si="4"/>
        <v>11554990396</v>
      </c>
      <c r="F75" s="21">
        <f t="shared" si="0"/>
        <v>5950820053941</v>
      </c>
      <c r="G75" s="21">
        <f t="shared" si="1"/>
        <v>6585316277</v>
      </c>
      <c r="H75" s="22">
        <f t="shared" si="2"/>
        <v>0.1916579284297768</v>
      </c>
      <c r="I75" s="10"/>
    </row>
    <row r="76" spans="2:9" x14ac:dyDescent="0.25">
      <c r="B76" s="10"/>
      <c r="C76" s="10"/>
      <c r="D76" s="18">
        <v>59</v>
      </c>
      <c r="E76" s="21">
        <f t="shared" si="4"/>
        <v>6585316277</v>
      </c>
      <c r="F76" s="21">
        <f t="shared" si="0"/>
        <v>3391437882656</v>
      </c>
      <c r="G76" s="21">
        <f t="shared" si="1"/>
        <v>24183522592</v>
      </c>
      <c r="H76" s="22">
        <f t="shared" si="2"/>
        <v>0.7038331413641572</v>
      </c>
      <c r="I76" s="10"/>
    </row>
    <row r="77" spans="2:9" x14ac:dyDescent="0.25">
      <c r="B77" s="10"/>
      <c r="C77" s="10"/>
      <c r="D77" s="18">
        <v>60</v>
      </c>
      <c r="E77" s="21">
        <f t="shared" si="4"/>
        <v>24183522592</v>
      </c>
      <c r="F77" s="21">
        <f t="shared" si="0"/>
        <v>12454514134881</v>
      </c>
      <c r="G77" s="21">
        <f t="shared" si="1"/>
        <v>16288845665</v>
      </c>
      <c r="H77" s="22">
        <f t="shared" si="2"/>
        <v>0.47406780257006176</v>
      </c>
      <c r="I77" s="10"/>
    </row>
    <row r="78" spans="2:9" x14ac:dyDescent="0.25">
      <c r="B78" s="10"/>
      <c r="C78" s="10"/>
      <c r="D78" s="18">
        <v>61</v>
      </c>
      <c r="E78" s="21">
        <f t="shared" si="4"/>
        <v>16288845665</v>
      </c>
      <c r="F78" s="21">
        <f t="shared" si="0"/>
        <v>8388755517476</v>
      </c>
      <c r="G78" s="21">
        <f t="shared" si="1"/>
        <v>4979355684</v>
      </c>
      <c r="H78" s="22">
        <f t="shared" si="2"/>
        <v>0.14491832361090928</v>
      </c>
      <c r="I78" s="10"/>
    </row>
    <row r="79" spans="2:9" x14ac:dyDescent="0.25">
      <c r="B79" s="10"/>
      <c r="C79" s="10"/>
      <c r="D79" s="18">
        <v>62</v>
      </c>
      <c r="E79" s="21">
        <f t="shared" si="4"/>
        <v>4979355684</v>
      </c>
      <c r="F79" s="21">
        <f t="shared" si="0"/>
        <v>2564368177261</v>
      </c>
      <c r="G79" s="21">
        <f t="shared" si="1"/>
        <v>21747538029</v>
      </c>
      <c r="H79" s="22">
        <f t="shared" si="2"/>
        <v>0.63293665964738466</v>
      </c>
      <c r="I79" s="10"/>
    </row>
    <row r="80" spans="2:9" x14ac:dyDescent="0.25">
      <c r="B80" s="10"/>
      <c r="C80" s="10"/>
      <c r="D80" s="18">
        <v>63</v>
      </c>
      <c r="E80" s="21">
        <f t="shared" si="4"/>
        <v>21747538029</v>
      </c>
      <c r="F80" s="21">
        <f t="shared" si="0"/>
        <v>11199982084936</v>
      </c>
      <c r="G80" s="21">
        <f t="shared" si="1"/>
        <v>33067115336</v>
      </c>
      <c r="H80" s="22">
        <f t="shared" si="2"/>
        <v>0.96237971843220294</v>
      </c>
      <c r="I80" s="10"/>
    </row>
    <row r="81" spans="2:9" x14ac:dyDescent="0.25">
      <c r="B81" s="10"/>
      <c r="C81" s="10"/>
      <c r="D81" s="18">
        <v>64</v>
      </c>
      <c r="E81" s="21">
        <f t="shared" si="4"/>
        <v>33067115336</v>
      </c>
      <c r="F81" s="21">
        <f t="shared" si="0"/>
        <v>17029564398041</v>
      </c>
      <c r="G81" s="21">
        <f t="shared" si="1"/>
        <v>21493905881</v>
      </c>
      <c r="H81" s="22">
        <f t="shared" si="2"/>
        <v>0.62555499261361547</v>
      </c>
      <c r="I81" s="10"/>
    </row>
    <row r="82" spans="2:9" x14ac:dyDescent="0.25">
      <c r="B82" s="10"/>
      <c r="C82" s="10"/>
      <c r="D82" s="18">
        <v>65</v>
      </c>
      <c r="E82" s="21">
        <f t="shared" si="4"/>
        <v>21493905881</v>
      </c>
      <c r="F82" s="21">
        <f t="shared" si="0"/>
        <v>11069361528716</v>
      </c>
      <c r="G82" s="21">
        <f t="shared" si="1"/>
        <v>5525774220</v>
      </c>
      <c r="H82" s="22">
        <f t="shared" si="2"/>
        <v>0.16082119604106992</v>
      </c>
      <c r="I82" s="10"/>
    </row>
    <row r="83" spans="2:9" x14ac:dyDescent="0.25">
      <c r="B83" s="10"/>
      <c r="C83" s="10"/>
      <c r="D83" s="18">
        <v>66</v>
      </c>
      <c r="E83" s="21">
        <f t="shared" si="4"/>
        <v>5525774220</v>
      </c>
      <c r="F83" s="21">
        <f t="shared" ref="F83:F146" si="5">E$7 * E83 + H$7</f>
        <v>2845773723301</v>
      </c>
      <c r="G83" s="21">
        <f t="shared" ref="G83:G146" si="6">MOD(F83,F$7)</f>
        <v>28275177125</v>
      </c>
      <c r="H83" s="22">
        <f t="shared" ref="H83:H146" si="7">G83/F$7</f>
        <v>0.82291596118011512</v>
      </c>
      <c r="I83" s="10"/>
    </row>
    <row r="84" spans="2:9" x14ac:dyDescent="0.25">
      <c r="B84" s="10"/>
      <c r="C84" s="10"/>
      <c r="D84" s="18">
        <v>67</v>
      </c>
      <c r="E84" s="21">
        <f t="shared" si="4"/>
        <v>28275177125</v>
      </c>
      <c r="F84" s="21">
        <f t="shared" si="5"/>
        <v>14561716219376</v>
      </c>
      <c r="G84" s="21">
        <f t="shared" si="6"/>
        <v>27546889712</v>
      </c>
      <c r="H84" s="22">
        <f t="shared" si="7"/>
        <v>0.80172000778838992</v>
      </c>
      <c r="I84" s="10"/>
    </row>
    <row r="85" spans="2:9" x14ac:dyDescent="0.25">
      <c r="B85" s="10"/>
      <c r="C85" s="10"/>
      <c r="D85" s="18">
        <v>68</v>
      </c>
      <c r="E85" s="21">
        <f t="shared" si="4"/>
        <v>27546889712</v>
      </c>
      <c r="F85" s="21">
        <f t="shared" si="5"/>
        <v>14186648201681</v>
      </c>
      <c r="G85" s="21">
        <f t="shared" si="6"/>
        <v>30435994065</v>
      </c>
      <c r="H85" s="22">
        <f t="shared" si="7"/>
        <v>0.88580401104991324</v>
      </c>
      <c r="I85" s="10"/>
    </row>
    <row r="86" spans="2:9" x14ac:dyDescent="0.25">
      <c r="B86" s="10"/>
      <c r="C86" s="10"/>
      <c r="D86" s="18">
        <v>69</v>
      </c>
      <c r="E86" s="21">
        <f t="shared" si="4"/>
        <v>30435994065</v>
      </c>
      <c r="F86" s="21">
        <f t="shared" si="5"/>
        <v>15674536943476</v>
      </c>
      <c r="G86" s="21">
        <f t="shared" si="6"/>
        <v>6496247668</v>
      </c>
      <c r="H86" s="22">
        <f t="shared" si="7"/>
        <v>0.1890656907344237</v>
      </c>
      <c r="I86" s="10"/>
    </row>
    <row r="87" spans="2:9" x14ac:dyDescent="0.25">
      <c r="B87" s="10"/>
      <c r="C87" s="10"/>
      <c r="D87" s="18">
        <v>70</v>
      </c>
      <c r="E87" s="21">
        <f t="shared" si="4"/>
        <v>6496247668</v>
      </c>
      <c r="F87" s="21">
        <f t="shared" si="5"/>
        <v>3345567549021</v>
      </c>
      <c r="G87" s="21">
        <f t="shared" si="6"/>
        <v>12672927325</v>
      </c>
      <c r="H87" s="22">
        <f t="shared" si="7"/>
        <v>0.36883072825730778</v>
      </c>
      <c r="I87" s="10"/>
    </row>
    <row r="88" spans="2:9" x14ac:dyDescent="0.25">
      <c r="B88" s="10"/>
      <c r="C88" s="10"/>
      <c r="D88" s="18">
        <v>71</v>
      </c>
      <c r="E88" s="21">
        <f t="shared" si="4"/>
        <v>12672927325</v>
      </c>
      <c r="F88" s="21">
        <f t="shared" si="5"/>
        <v>6526557572376</v>
      </c>
      <c r="G88" s="21">
        <f t="shared" si="6"/>
        <v>32567020824</v>
      </c>
      <c r="H88" s="22">
        <f t="shared" si="7"/>
        <v>0.94782505254261196</v>
      </c>
      <c r="I88" s="10"/>
    </row>
    <row r="89" spans="2:9" x14ac:dyDescent="0.25">
      <c r="B89" s="10"/>
      <c r="C89" s="10"/>
      <c r="D89" s="18">
        <v>72</v>
      </c>
      <c r="E89" s="21">
        <f t="shared" si="4"/>
        <v>32567020824</v>
      </c>
      <c r="F89" s="21">
        <f t="shared" si="5"/>
        <v>16772015724361</v>
      </c>
      <c r="G89" s="21">
        <f t="shared" si="6"/>
        <v>4463400777</v>
      </c>
      <c r="H89" s="22">
        <f t="shared" si="7"/>
        <v>0.12990205947426148</v>
      </c>
      <c r="I89" s="10"/>
    </row>
    <row r="90" spans="2:9" x14ac:dyDescent="0.25">
      <c r="B90" s="10"/>
      <c r="C90" s="10"/>
      <c r="D90" s="18">
        <v>73</v>
      </c>
      <c r="E90" s="21">
        <f t="shared" si="4"/>
        <v>4463400777</v>
      </c>
      <c r="F90" s="21">
        <f t="shared" si="5"/>
        <v>2298651400156</v>
      </c>
      <c r="G90" s="21">
        <f t="shared" si="6"/>
        <v>30908667868</v>
      </c>
      <c r="H90" s="22">
        <f t="shared" si="7"/>
        <v>0.89956062927376479</v>
      </c>
      <c r="I90" s="10"/>
    </row>
    <row r="91" spans="2:9" x14ac:dyDescent="0.25">
      <c r="B91" s="10"/>
      <c r="C91" s="10"/>
      <c r="D91" s="18">
        <v>74</v>
      </c>
      <c r="E91" s="21">
        <f t="shared" si="4"/>
        <v>30908667868</v>
      </c>
      <c r="F91" s="21">
        <f t="shared" si="5"/>
        <v>15917963952021</v>
      </c>
      <c r="G91" s="21">
        <f t="shared" si="6"/>
        <v>9405087637</v>
      </c>
      <c r="H91" s="22">
        <f t="shared" si="7"/>
        <v>0.27372407601797022</v>
      </c>
      <c r="I91" s="10"/>
    </row>
    <row r="92" spans="2:9" x14ac:dyDescent="0.25">
      <c r="B92" s="10"/>
      <c r="C92" s="10"/>
      <c r="D92" s="18">
        <v>75</v>
      </c>
      <c r="E92" s="21">
        <f t="shared" si="4"/>
        <v>9405087637</v>
      </c>
      <c r="F92" s="21">
        <f t="shared" si="5"/>
        <v>4843620133056</v>
      </c>
      <c r="G92" s="21">
        <f t="shared" si="6"/>
        <v>33256761536</v>
      </c>
      <c r="H92" s="22">
        <f t="shared" si="7"/>
        <v>0.96789914928376675</v>
      </c>
      <c r="I92" s="10"/>
    </row>
    <row r="93" spans="2:9" x14ac:dyDescent="0.25">
      <c r="B93" s="10"/>
      <c r="C93" s="10"/>
      <c r="D93" s="18">
        <v>76</v>
      </c>
      <c r="E93" s="21">
        <f t="shared" si="4"/>
        <v>33256761536</v>
      </c>
      <c r="F93" s="21">
        <f t="shared" si="5"/>
        <v>17127232191041</v>
      </c>
      <c r="G93" s="21">
        <f t="shared" si="6"/>
        <v>16082483777</v>
      </c>
      <c r="H93" s="22">
        <f t="shared" si="7"/>
        <v>0.46806188116897829</v>
      </c>
      <c r="I93" s="10"/>
    </row>
    <row r="94" spans="2:9" x14ac:dyDescent="0.25">
      <c r="B94" s="10"/>
      <c r="C94" s="10"/>
      <c r="D94" s="18">
        <v>77</v>
      </c>
      <c r="E94" s="21">
        <f t="shared" ref="E94:E116" si="8">G93</f>
        <v>16082483777</v>
      </c>
      <c r="F94" s="21">
        <f t="shared" si="5"/>
        <v>8282479145156</v>
      </c>
      <c r="G94" s="21">
        <f t="shared" si="6"/>
        <v>1782198468</v>
      </c>
      <c r="H94" s="22">
        <f t="shared" si="7"/>
        <v>5.1868802052922547E-2</v>
      </c>
      <c r="I94" s="10"/>
    </row>
    <row r="95" spans="2:9" x14ac:dyDescent="0.25">
      <c r="B95" s="10"/>
      <c r="C95" s="10"/>
      <c r="D95" s="18">
        <v>78</v>
      </c>
      <c r="E95" s="21">
        <f t="shared" si="8"/>
        <v>1782198468</v>
      </c>
      <c r="F95" s="21">
        <f t="shared" si="5"/>
        <v>917832211021</v>
      </c>
      <c r="G95" s="21">
        <f t="shared" si="6"/>
        <v>24479013453</v>
      </c>
      <c r="H95" s="22">
        <f t="shared" si="7"/>
        <v>0.71243305728421547</v>
      </c>
      <c r="I95" s="10"/>
    </row>
    <row r="96" spans="2:9" x14ac:dyDescent="0.25">
      <c r="B96" s="10"/>
      <c r="C96" s="10"/>
      <c r="D96" s="18">
        <v>79</v>
      </c>
      <c r="E96" s="21">
        <f t="shared" si="8"/>
        <v>24479013453</v>
      </c>
      <c r="F96" s="21">
        <f t="shared" si="5"/>
        <v>12606691928296</v>
      </c>
      <c r="G96" s="21">
        <f t="shared" si="6"/>
        <v>31027685608</v>
      </c>
      <c r="H96" s="22">
        <f t="shared" si="7"/>
        <v>0.9030245014000684</v>
      </c>
      <c r="I96" s="10"/>
    </row>
    <row r="97" spans="2:9" x14ac:dyDescent="0.25">
      <c r="B97" s="10"/>
      <c r="C97" s="10"/>
      <c r="D97" s="18">
        <v>80</v>
      </c>
      <c r="E97" s="21">
        <f t="shared" si="8"/>
        <v>31027685608</v>
      </c>
      <c r="F97" s="21">
        <f t="shared" si="5"/>
        <v>15979258088121</v>
      </c>
      <c r="G97" s="21">
        <f t="shared" si="6"/>
        <v>1979747001</v>
      </c>
      <c r="H97" s="22">
        <f t="shared" si="7"/>
        <v>5.761822106433101E-2</v>
      </c>
      <c r="I97" s="10"/>
    </row>
    <row r="98" spans="2:9" x14ac:dyDescent="0.25">
      <c r="B98" s="10"/>
      <c r="C98" s="10"/>
      <c r="D98" s="18">
        <v>81</v>
      </c>
      <c r="E98" s="21">
        <f t="shared" si="8"/>
        <v>1979747001</v>
      </c>
      <c r="F98" s="21">
        <f t="shared" si="5"/>
        <v>1019569705516</v>
      </c>
      <c r="G98" s="21">
        <f t="shared" si="6"/>
        <v>23137292844</v>
      </c>
      <c r="H98" s="22">
        <f t="shared" si="7"/>
        <v>0.67338384815957397</v>
      </c>
      <c r="I98" s="10"/>
    </row>
    <row r="99" spans="2:9" x14ac:dyDescent="0.25">
      <c r="B99" s="10"/>
      <c r="C99" s="10"/>
      <c r="D99" s="18">
        <v>82</v>
      </c>
      <c r="E99" s="21">
        <f t="shared" si="8"/>
        <v>23137292844</v>
      </c>
      <c r="F99" s="21">
        <f t="shared" si="5"/>
        <v>11915705814661</v>
      </c>
      <c r="G99" s="21">
        <f t="shared" si="6"/>
        <v>27236339333</v>
      </c>
      <c r="H99" s="22">
        <f t="shared" si="7"/>
        <v>0.79268180220969953</v>
      </c>
      <c r="I99" s="10"/>
    </row>
    <row r="100" spans="2:9" x14ac:dyDescent="0.25">
      <c r="B100" s="10"/>
      <c r="C100" s="10"/>
      <c r="D100" s="18">
        <v>83</v>
      </c>
      <c r="E100" s="21">
        <f t="shared" si="8"/>
        <v>27236339333</v>
      </c>
      <c r="F100" s="21">
        <f t="shared" si="5"/>
        <v>14026714756496</v>
      </c>
      <c r="G100" s="21">
        <f t="shared" si="6"/>
        <v>7941502352</v>
      </c>
      <c r="H100" s="22">
        <f t="shared" si="7"/>
        <v>0.23112813802435994</v>
      </c>
      <c r="I100" s="10"/>
    </row>
    <row r="101" spans="2:9" x14ac:dyDescent="0.25">
      <c r="B101" s="10"/>
      <c r="C101" s="10"/>
      <c r="D101" s="18">
        <v>84</v>
      </c>
      <c r="E101" s="21">
        <f t="shared" si="8"/>
        <v>7941502352</v>
      </c>
      <c r="F101" s="21">
        <f t="shared" si="5"/>
        <v>4089873711281</v>
      </c>
      <c r="G101" s="21">
        <f t="shared" si="6"/>
        <v>1064845489</v>
      </c>
      <c r="H101" s="22">
        <f t="shared" si="7"/>
        <v>3.0991082574473694E-2</v>
      </c>
      <c r="I101" s="10"/>
    </row>
    <row r="102" spans="2:9" x14ac:dyDescent="0.25">
      <c r="B102" s="10"/>
      <c r="C102" s="10"/>
      <c r="D102" s="18">
        <v>85</v>
      </c>
      <c r="E102" s="21">
        <f t="shared" si="8"/>
        <v>1064845489</v>
      </c>
      <c r="F102" s="21">
        <f t="shared" si="5"/>
        <v>548395426836</v>
      </c>
      <c r="G102" s="21">
        <f t="shared" si="6"/>
        <v>32999351316</v>
      </c>
      <c r="H102" s="22">
        <f t="shared" si="7"/>
        <v>0.96040752588305622</v>
      </c>
      <c r="I102" s="10"/>
    </row>
    <row r="103" spans="2:9" x14ac:dyDescent="0.25">
      <c r="B103" s="10"/>
      <c r="C103" s="10"/>
      <c r="D103" s="18">
        <v>86</v>
      </c>
      <c r="E103" s="21">
        <f t="shared" si="8"/>
        <v>32999351316</v>
      </c>
      <c r="F103" s="21">
        <f t="shared" si="5"/>
        <v>16994665927741</v>
      </c>
      <c r="G103" s="21">
        <f t="shared" si="6"/>
        <v>20955173949</v>
      </c>
      <c r="H103" s="22">
        <f t="shared" si="7"/>
        <v>0.60987582980305888</v>
      </c>
      <c r="I103" s="10"/>
    </row>
    <row r="104" spans="2:9" x14ac:dyDescent="0.25">
      <c r="B104" s="10"/>
      <c r="C104" s="10"/>
      <c r="D104" s="18">
        <v>87</v>
      </c>
      <c r="E104" s="21">
        <f t="shared" si="8"/>
        <v>20955173949</v>
      </c>
      <c r="F104" s="21">
        <f t="shared" si="5"/>
        <v>10791914583736</v>
      </c>
      <c r="G104" s="21">
        <f t="shared" si="6"/>
        <v>2956736184</v>
      </c>
      <c r="H104" s="22">
        <f t="shared" si="7"/>
        <v>8.6052348604425788E-2</v>
      </c>
      <c r="I104" s="10"/>
    </row>
    <row r="105" spans="2:9" x14ac:dyDescent="0.25">
      <c r="B105" s="10"/>
      <c r="C105" s="10"/>
      <c r="D105" s="18">
        <v>88</v>
      </c>
      <c r="E105" s="21">
        <f t="shared" si="8"/>
        <v>2956736184</v>
      </c>
      <c r="F105" s="21">
        <f t="shared" si="5"/>
        <v>1522719134761</v>
      </c>
      <c r="G105" s="21">
        <f t="shared" si="6"/>
        <v>10890646569</v>
      </c>
      <c r="H105" s="22">
        <f t="shared" si="7"/>
        <v>0.31695953130838461</v>
      </c>
      <c r="I105" s="10"/>
    </row>
    <row r="106" spans="2:9" x14ac:dyDescent="0.25">
      <c r="B106" s="10"/>
      <c r="C106" s="10"/>
      <c r="D106" s="18">
        <v>89</v>
      </c>
      <c r="E106" s="21">
        <f t="shared" si="8"/>
        <v>10890646569</v>
      </c>
      <c r="F106" s="21">
        <f t="shared" si="5"/>
        <v>5608682983036</v>
      </c>
      <c r="G106" s="21">
        <f t="shared" si="6"/>
        <v>8045629052</v>
      </c>
      <c r="H106" s="22">
        <f t="shared" si="7"/>
        <v>0.23415862384717911</v>
      </c>
      <c r="I106" s="10"/>
    </row>
    <row r="107" spans="2:9" x14ac:dyDescent="0.25">
      <c r="B107" s="10"/>
      <c r="C107" s="10"/>
      <c r="D107" s="18">
        <v>90</v>
      </c>
      <c r="E107" s="21">
        <f t="shared" si="8"/>
        <v>8045629052</v>
      </c>
      <c r="F107" s="21">
        <f t="shared" si="5"/>
        <v>4143498961781</v>
      </c>
      <c r="G107" s="21">
        <f t="shared" si="6"/>
        <v>20330357621</v>
      </c>
      <c r="H107" s="22">
        <f t="shared" si="7"/>
        <v>0.59169128132634796</v>
      </c>
      <c r="I107" s="10"/>
    </row>
    <row r="108" spans="2:9" x14ac:dyDescent="0.25">
      <c r="B108" s="10"/>
      <c r="C108" s="10"/>
      <c r="D108" s="18">
        <v>91</v>
      </c>
      <c r="E108" s="21">
        <f t="shared" si="8"/>
        <v>20330357621</v>
      </c>
      <c r="F108" s="21">
        <f t="shared" si="5"/>
        <v>10470134174816</v>
      </c>
      <c r="G108" s="21">
        <f t="shared" si="6"/>
        <v>24773710944</v>
      </c>
      <c r="H108" s="22">
        <f t="shared" si="7"/>
        <v>0.72100988309830427</v>
      </c>
      <c r="I108" s="10"/>
    </row>
    <row r="109" spans="2:9" x14ac:dyDescent="0.25">
      <c r="B109" s="10"/>
      <c r="C109" s="10"/>
      <c r="D109" s="18">
        <v>92</v>
      </c>
      <c r="E109" s="21">
        <f t="shared" si="8"/>
        <v>24773710944</v>
      </c>
      <c r="F109" s="21">
        <f t="shared" si="5"/>
        <v>12758461136161</v>
      </c>
      <c r="G109" s="21">
        <f t="shared" si="6"/>
        <v>10998201633</v>
      </c>
      <c r="H109" s="22">
        <f t="shared" si="7"/>
        <v>0.32008979565580375</v>
      </c>
      <c r="I109" s="10"/>
    </row>
    <row r="110" spans="2:9" x14ac:dyDescent="0.25">
      <c r="B110" s="10"/>
      <c r="C110" s="10"/>
      <c r="D110" s="18">
        <v>93</v>
      </c>
      <c r="E110" s="21">
        <f t="shared" si="8"/>
        <v>10998201633</v>
      </c>
      <c r="F110" s="21">
        <f t="shared" si="5"/>
        <v>5664073840996</v>
      </c>
      <c r="G110" s="21">
        <f t="shared" si="6"/>
        <v>29076748644</v>
      </c>
      <c r="H110" s="22">
        <f t="shared" si="7"/>
        <v>0.84624476276803762</v>
      </c>
      <c r="I110" s="10"/>
    </row>
    <row r="111" spans="2:9" x14ac:dyDescent="0.25">
      <c r="B111" s="10"/>
      <c r="C111" s="10"/>
      <c r="D111" s="18">
        <v>94</v>
      </c>
      <c r="E111" s="21">
        <f t="shared" si="8"/>
        <v>29076748644</v>
      </c>
      <c r="F111" s="21">
        <f t="shared" si="5"/>
        <v>14974525551661</v>
      </c>
      <c r="G111" s="21">
        <f t="shared" si="6"/>
        <v>28039361581</v>
      </c>
      <c r="H111" s="22">
        <f t="shared" si="7"/>
        <v>0.81605282556847669</v>
      </c>
      <c r="I111" s="10"/>
    </row>
    <row r="112" spans="2:9" x14ac:dyDescent="0.25">
      <c r="B112" s="10"/>
      <c r="C112" s="10"/>
      <c r="D112" s="18">
        <v>95</v>
      </c>
      <c r="E112" s="21">
        <f t="shared" si="8"/>
        <v>28039361581</v>
      </c>
      <c r="F112" s="21">
        <f t="shared" si="5"/>
        <v>14440271214216</v>
      </c>
      <c r="G112" s="21">
        <f t="shared" si="6"/>
        <v>9181099656</v>
      </c>
      <c r="H112" s="22">
        <f t="shared" si="7"/>
        <v>0.26720516779460013</v>
      </c>
      <c r="I112" s="10"/>
    </row>
    <row r="113" spans="2:9" x14ac:dyDescent="0.25">
      <c r="B113" s="10"/>
      <c r="C113" s="10"/>
      <c r="D113" s="18">
        <v>96</v>
      </c>
      <c r="E113" s="21">
        <f t="shared" si="8"/>
        <v>9181099656</v>
      </c>
      <c r="F113" s="21">
        <f t="shared" si="5"/>
        <v>4728266322841</v>
      </c>
      <c r="G113" s="21">
        <f t="shared" si="6"/>
        <v>20982166425</v>
      </c>
      <c r="H113" s="22">
        <f t="shared" si="7"/>
        <v>0.61066141424817033</v>
      </c>
      <c r="I113" s="10"/>
    </row>
    <row r="114" spans="2:9" x14ac:dyDescent="0.25">
      <c r="B114" s="10"/>
      <c r="C114" s="10"/>
      <c r="D114" s="18">
        <v>97</v>
      </c>
      <c r="E114" s="21">
        <f t="shared" si="8"/>
        <v>20982166425</v>
      </c>
      <c r="F114" s="21">
        <f t="shared" si="5"/>
        <v>10805815708876</v>
      </c>
      <c r="G114" s="21">
        <f t="shared" si="6"/>
        <v>16857861324</v>
      </c>
      <c r="H114" s="22">
        <f t="shared" si="7"/>
        <v>0.49062833783682436</v>
      </c>
      <c r="I114" s="10"/>
    </row>
    <row r="115" spans="2:9" x14ac:dyDescent="0.25">
      <c r="B115" s="10"/>
      <c r="C115" s="10"/>
      <c r="D115" s="18">
        <v>98</v>
      </c>
      <c r="E115" s="21">
        <f t="shared" si="8"/>
        <v>16857861324</v>
      </c>
      <c r="F115" s="21">
        <f t="shared" si="5"/>
        <v>8681798581861</v>
      </c>
      <c r="G115" s="21">
        <f t="shared" si="6"/>
        <v>23144513125</v>
      </c>
      <c r="H115" s="22">
        <f t="shared" si="7"/>
        <v>0.67359398599364795</v>
      </c>
      <c r="I115" s="10"/>
    </row>
    <row r="116" spans="2:9" x14ac:dyDescent="0.25">
      <c r="B116" s="10"/>
      <c r="C116" s="10"/>
      <c r="D116" s="18">
        <v>99</v>
      </c>
      <c r="E116" s="21">
        <f t="shared" si="8"/>
        <v>23144513125</v>
      </c>
      <c r="F116" s="21">
        <f t="shared" si="5"/>
        <v>11919424259376</v>
      </c>
      <c r="G116" s="21">
        <f t="shared" si="6"/>
        <v>30954784048</v>
      </c>
      <c r="H116" s="22">
        <f t="shared" si="7"/>
        <v>0.900902786757797</v>
      </c>
      <c r="I116" s="10"/>
    </row>
    <row r="117" spans="2:9" x14ac:dyDescent="0.25">
      <c r="B117" s="10"/>
      <c r="C117" s="10"/>
      <c r="D117" s="18">
        <v>100</v>
      </c>
      <c r="E117" s="21">
        <f>G116</f>
        <v>30954784048</v>
      </c>
      <c r="F117" s="21">
        <f t="shared" si="5"/>
        <v>15941713784721</v>
      </c>
      <c r="G117" s="21">
        <f t="shared" si="6"/>
        <v>33154920337</v>
      </c>
      <c r="H117" s="22">
        <f t="shared" si="7"/>
        <v>0.96493518029456027</v>
      </c>
      <c r="I117" s="10"/>
    </row>
    <row r="118" spans="2:9" x14ac:dyDescent="0.25">
      <c r="B118" s="10"/>
      <c r="C118" s="10"/>
      <c r="D118" s="18">
        <v>101</v>
      </c>
      <c r="E118" s="21">
        <f t="shared" ref="E118:E181" si="9">G117</f>
        <v>33154920337</v>
      </c>
      <c r="F118" s="21">
        <f t="shared" si="5"/>
        <v>17074783973556</v>
      </c>
      <c r="G118" s="21">
        <f t="shared" si="6"/>
        <v>32353743028</v>
      </c>
      <c r="H118" s="22">
        <f t="shared" si="7"/>
        <v>0.94161785172764212</v>
      </c>
      <c r="I118" s="10"/>
    </row>
    <row r="119" spans="2:9" x14ac:dyDescent="0.25">
      <c r="B119" s="10"/>
      <c r="C119" s="10"/>
      <c r="D119" s="18">
        <v>102</v>
      </c>
      <c r="E119" s="21">
        <f t="shared" si="9"/>
        <v>32353743028</v>
      </c>
      <c r="F119" s="21">
        <f t="shared" si="5"/>
        <v>16662177659421</v>
      </c>
      <c r="G119" s="21">
        <f t="shared" si="6"/>
        <v>32064289309</v>
      </c>
      <c r="H119" s="22">
        <f t="shared" si="7"/>
        <v>0.93319363976479508</v>
      </c>
      <c r="I119" s="10"/>
    </row>
    <row r="120" spans="2:9" x14ac:dyDescent="0.25">
      <c r="B120" s="10"/>
      <c r="C120" s="10"/>
      <c r="D120" s="18">
        <v>103</v>
      </c>
      <c r="E120" s="21">
        <f t="shared" si="9"/>
        <v>32064289309</v>
      </c>
      <c r="F120" s="21">
        <f t="shared" si="5"/>
        <v>16513108994136</v>
      </c>
      <c r="G120" s="21">
        <f t="shared" si="6"/>
        <v>20434577496</v>
      </c>
      <c r="H120" s="22">
        <f t="shared" si="7"/>
        <v>0.59472447889856994</v>
      </c>
      <c r="I120" s="10"/>
    </row>
    <row r="121" spans="2:9" x14ac:dyDescent="0.25">
      <c r="B121" s="10"/>
      <c r="C121" s="10"/>
      <c r="D121" s="18">
        <v>104</v>
      </c>
      <c r="E121" s="21">
        <f t="shared" si="9"/>
        <v>20434577496</v>
      </c>
      <c r="F121" s="21">
        <f t="shared" si="5"/>
        <v>10523807410441</v>
      </c>
      <c r="G121" s="21">
        <f t="shared" si="6"/>
        <v>9727469833</v>
      </c>
      <c r="H121" s="22">
        <f t="shared" si="7"/>
        <v>0.28310663279262371</v>
      </c>
      <c r="I121" s="10"/>
    </row>
    <row r="122" spans="2:9" x14ac:dyDescent="0.25">
      <c r="B122" s="10"/>
      <c r="C122" s="10"/>
      <c r="D122" s="18">
        <v>105</v>
      </c>
      <c r="E122" s="21">
        <f t="shared" si="9"/>
        <v>9727469833</v>
      </c>
      <c r="F122" s="21">
        <f t="shared" si="5"/>
        <v>5009646963996</v>
      </c>
      <c r="G122" s="21">
        <f t="shared" si="6"/>
        <v>27484900636</v>
      </c>
      <c r="H122" s="22">
        <f t="shared" si="7"/>
        <v>0.79991588823031634</v>
      </c>
      <c r="I122" s="10"/>
    </row>
    <row r="123" spans="2:9" x14ac:dyDescent="0.25">
      <c r="B123" s="10"/>
      <c r="C123" s="10"/>
      <c r="D123" s="18">
        <v>106</v>
      </c>
      <c r="E123" s="21">
        <f t="shared" si="9"/>
        <v>27484900636</v>
      </c>
      <c r="F123" s="21">
        <f t="shared" si="5"/>
        <v>14154723827541</v>
      </c>
      <c r="G123" s="21">
        <f t="shared" si="6"/>
        <v>32871358293</v>
      </c>
      <c r="H123" s="22">
        <f t="shared" si="7"/>
        <v>0.95668243864201941</v>
      </c>
      <c r="I123" s="10"/>
    </row>
    <row r="124" spans="2:9" x14ac:dyDescent="0.25">
      <c r="B124" s="10"/>
      <c r="C124" s="10"/>
      <c r="D124" s="18">
        <v>107</v>
      </c>
      <c r="E124" s="21">
        <f t="shared" si="9"/>
        <v>32871358293</v>
      </c>
      <c r="F124" s="21">
        <f t="shared" si="5"/>
        <v>16928749520896</v>
      </c>
      <c r="G124" s="21">
        <f t="shared" si="6"/>
        <v>23758243840</v>
      </c>
      <c r="H124" s="22">
        <f t="shared" si="7"/>
        <v>0.6914559006690979</v>
      </c>
      <c r="I124" s="10"/>
    </row>
    <row r="125" spans="2:9" x14ac:dyDescent="0.25">
      <c r="B125" s="10"/>
      <c r="C125" s="10"/>
      <c r="D125" s="18">
        <v>108</v>
      </c>
      <c r="E125" s="21">
        <f t="shared" si="9"/>
        <v>23758243840</v>
      </c>
      <c r="F125" s="21">
        <f t="shared" si="5"/>
        <v>12235495577601</v>
      </c>
      <c r="G125" s="21">
        <f t="shared" si="6"/>
        <v>3428718593</v>
      </c>
      <c r="H125" s="22">
        <f t="shared" si="7"/>
        <v>9.9788844614522532E-2</v>
      </c>
      <c r="I125" s="10"/>
    </row>
    <row r="126" spans="2:9" x14ac:dyDescent="0.25">
      <c r="B126" s="10"/>
      <c r="C126" s="10"/>
      <c r="D126" s="18">
        <v>109</v>
      </c>
      <c r="E126" s="21">
        <f t="shared" si="9"/>
        <v>3428718593</v>
      </c>
      <c r="F126" s="21">
        <f t="shared" si="5"/>
        <v>1765790075396</v>
      </c>
      <c r="G126" s="21">
        <f t="shared" si="6"/>
        <v>13443418628</v>
      </c>
      <c r="H126" s="22">
        <f t="shared" si="7"/>
        <v>0.39125497650820762</v>
      </c>
      <c r="I126" s="10"/>
    </row>
    <row r="127" spans="2:9" x14ac:dyDescent="0.25">
      <c r="B127" s="10"/>
      <c r="C127" s="10"/>
      <c r="D127" s="18">
        <v>110</v>
      </c>
      <c r="E127" s="21">
        <f t="shared" si="9"/>
        <v>13443418628</v>
      </c>
      <c r="F127" s="21">
        <f t="shared" si="5"/>
        <v>6923360593421</v>
      </c>
      <c r="G127" s="21">
        <f t="shared" si="6"/>
        <v>17053181453</v>
      </c>
      <c r="H127" s="22">
        <f t="shared" si="7"/>
        <v>0.49631290175602771</v>
      </c>
      <c r="I127" s="10"/>
    </row>
    <row r="128" spans="2:9" x14ac:dyDescent="0.25">
      <c r="B128" s="10"/>
      <c r="C128" s="10"/>
      <c r="D128" s="18">
        <v>111</v>
      </c>
      <c r="E128" s="21">
        <f t="shared" si="9"/>
        <v>17053181453</v>
      </c>
      <c r="F128" s="21">
        <f t="shared" si="5"/>
        <v>8782388448296</v>
      </c>
      <c r="G128" s="21">
        <f t="shared" si="6"/>
        <v>20655164456</v>
      </c>
      <c r="H128" s="22">
        <f t="shared" si="7"/>
        <v>0.60114440438337624</v>
      </c>
      <c r="I128" s="10"/>
    </row>
    <row r="129" spans="2:9" x14ac:dyDescent="0.25">
      <c r="B129" s="10"/>
      <c r="C129" s="10"/>
      <c r="D129" s="18">
        <v>112</v>
      </c>
      <c r="E129" s="21">
        <f t="shared" si="9"/>
        <v>20655164456</v>
      </c>
      <c r="F129" s="21">
        <f t="shared" si="5"/>
        <v>10637409694841</v>
      </c>
      <c r="G129" s="21">
        <f t="shared" si="6"/>
        <v>20250539129</v>
      </c>
      <c r="H129" s="22">
        <f t="shared" si="7"/>
        <v>0.58936825746786781</v>
      </c>
      <c r="I129" s="10"/>
    </row>
    <row r="130" spans="2:9" x14ac:dyDescent="0.25">
      <c r="B130" s="10"/>
      <c r="C130" s="10"/>
      <c r="D130" s="18">
        <v>113</v>
      </c>
      <c r="E130" s="21">
        <f t="shared" si="9"/>
        <v>20250539129</v>
      </c>
      <c r="F130" s="21">
        <f t="shared" si="5"/>
        <v>10429027651436</v>
      </c>
      <c r="G130" s="21">
        <f t="shared" si="6"/>
        <v>18026925932</v>
      </c>
      <c r="H130" s="22">
        <f t="shared" si="7"/>
        <v>0.52465259598102421</v>
      </c>
      <c r="I130" s="10"/>
    </row>
    <row r="131" spans="2:9" x14ac:dyDescent="0.25">
      <c r="B131" s="10"/>
      <c r="C131" s="10"/>
      <c r="D131" s="18">
        <v>114</v>
      </c>
      <c r="E131" s="21">
        <f t="shared" si="9"/>
        <v>18026925932</v>
      </c>
      <c r="F131" s="21">
        <f t="shared" si="5"/>
        <v>9283866854981</v>
      </c>
      <c r="G131" s="21">
        <f t="shared" si="6"/>
        <v>6737495621</v>
      </c>
      <c r="H131" s="22">
        <f t="shared" si="7"/>
        <v>0.19608693025656976</v>
      </c>
      <c r="I131" s="10"/>
    </row>
    <row r="132" spans="2:9" x14ac:dyDescent="0.25">
      <c r="B132" s="10"/>
      <c r="C132" s="10"/>
      <c r="D132" s="18">
        <v>115</v>
      </c>
      <c r="E132" s="21">
        <f t="shared" si="9"/>
        <v>6737495621</v>
      </c>
      <c r="F132" s="21">
        <f t="shared" si="5"/>
        <v>3469810244816</v>
      </c>
      <c r="G132" s="21">
        <f t="shared" si="6"/>
        <v>33836408016</v>
      </c>
      <c r="H132" s="22">
        <f t="shared" si="7"/>
        <v>0.98476908216252923</v>
      </c>
      <c r="I132" s="10"/>
    </row>
    <row r="133" spans="2:9" x14ac:dyDescent="0.25">
      <c r="B133" s="10"/>
      <c r="C133" s="10"/>
      <c r="D133" s="18">
        <v>116</v>
      </c>
      <c r="E133" s="21">
        <f t="shared" si="9"/>
        <v>33836408016</v>
      </c>
      <c r="F133" s="21">
        <f t="shared" si="5"/>
        <v>17425750128241</v>
      </c>
      <c r="G133" s="21">
        <f t="shared" si="6"/>
        <v>5362775665</v>
      </c>
      <c r="H133" s="22">
        <f t="shared" si="7"/>
        <v>0.15607731373165734</v>
      </c>
      <c r="I133" s="10"/>
    </row>
    <row r="134" spans="2:9" x14ac:dyDescent="0.25">
      <c r="B134" s="10"/>
      <c r="C134" s="10"/>
      <c r="D134" s="18">
        <v>117</v>
      </c>
      <c r="E134" s="21">
        <f t="shared" si="9"/>
        <v>5362775665</v>
      </c>
      <c r="F134" s="21">
        <f t="shared" si="5"/>
        <v>2761829467476</v>
      </c>
      <c r="G134" s="21">
        <f t="shared" si="6"/>
        <v>13050398036</v>
      </c>
      <c r="H134" s="22">
        <f t="shared" si="7"/>
        <v>0.37981657183263451</v>
      </c>
      <c r="I134" s="10"/>
    </row>
    <row r="135" spans="2:9" x14ac:dyDescent="0.25">
      <c r="B135" s="10"/>
      <c r="C135" s="10"/>
      <c r="D135" s="18">
        <v>118</v>
      </c>
      <c r="E135" s="21">
        <f t="shared" si="9"/>
        <v>13050398036</v>
      </c>
      <c r="F135" s="21">
        <f t="shared" si="5"/>
        <v>6720954988541</v>
      </c>
      <c r="G135" s="21">
        <f t="shared" si="6"/>
        <v>20806006781</v>
      </c>
      <c r="H135" s="22">
        <f t="shared" si="7"/>
        <v>0.60553449383587576</v>
      </c>
      <c r="I135" s="10"/>
    </row>
    <row r="136" spans="2:9" x14ac:dyDescent="0.25">
      <c r="B136" s="10"/>
      <c r="C136" s="10"/>
      <c r="D136" s="18">
        <v>119</v>
      </c>
      <c r="E136" s="21">
        <f t="shared" si="9"/>
        <v>20806006781</v>
      </c>
      <c r="F136" s="21">
        <f t="shared" si="5"/>
        <v>10715093492216</v>
      </c>
      <c r="G136" s="21">
        <f t="shared" si="6"/>
        <v>29214859768</v>
      </c>
      <c r="H136" s="22">
        <f t="shared" si="7"/>
        <v>0.85026432550512254</v>
      </c>
      <c r="I136" s="10"/>
    </row>
    <row r="137" spans="2:9" x14ac:dyDescent="0.25">
      <c r="B137" s="10"/>
      <c r="C137" s="10"/>
      <c r="D137" s="18">
        <v>120</v>
      </c>
      <c r="E137" s="21">
        <f t="shared" si="9"/>
        <v>29214859768</v>
      </c>
      <c r="F137" s="21">
        <f t="shared" si="5"/>
        <v>15045652780521</v>
      </c>
      <c r="G137" s="21">
        <f t="shared" si="6"/>
        <v>30447113705</v>
      </c>
      <c r="H137" s="22">
        <f t="shared" si="7"/>
        <v>0.88612763516721316</v>
      </c>
      <c r="I137" s="10"/>
    </row>
    <row r="138" spans="2:9" x14ac:dyDescent="0.25">
      <c r="B138" s="10"/>
      <c r="C138" s="10"/>
      <c r="D138" s="18">
        <v>121</v>
      </c>
      <c r="E138" s="21">
        <f t="shared" si="9"/>
        <v>30447113705</v>
      </c>
      <c r="F138" s="21">
        <f t="shared" si="5"/>
        <v>15680263558076</v>
      </c>
      <c r="G138" s="21">
        <f t="shared" si="6"/>
        <v>12222862268</v>
      </c>
      <c r="H138" s="22">
        <f t="shared" si="7"/>
        <v>0.35573211114387959</v>
      </c>
      <c r="I138" s="10"/>
    </row>
    <row r="139" spans="2:9" x14ac:dyDescent="0.25">
      <c r="B139" s="10"/>
      <c r="C139" s="10"/>
      <c r="D139" s="18">
        <v>122</v>
      </c>
      <c r="E139" s="21">
        <f t="shared" si="9"/>
        <v>12222862268</v>
      </c>
      <c r="F139" s="21">
        <f t="shared" si="5"/>
        <v>6294774068021</v>
      </c>
      <c r="G139" s="21">
        <f t="shared" si="6"/>
        <v>6941946677</v>
      </c>
      <c r="H139" s="22">
        <f t="shared" si="7"/>
        <v>0.20203723912709393</v>
      </c>
      <c r="I139" s="10"/>
    </row>
    <row r="140" spans="2:9" x14ac:dyDescent="0.25">
      <c r="B140" s="10"/>
      <c r="C140" s="10"/>
      <c r="D140" s="18">
        <v>123</v>
      </c>
      <c r="E140" s="21">
        <f t="shared" si="9"/>
        <v>6941946677</v>
      </c>
      <c r="F140" s="21">
        <f t="shared" si="5"/>
        <v>3575102538656</v>
      </c>
      <c r="G140" s="21">
        <f t="shared" si="6"/>
        <v>1689748384</v>
      </c>
      <c r="H140" s="22">
        <f t="shared" si="7"/>
        <v>4.9178150482475758E-2</v>
      </c>
      <c r="I140" s="10"/>
    </row>
    <row r="141" spans="2:9" x14ac:dyDescent="0.25">
      <c r="B141" s="10"/>
      <c r="C141" s="10"/>
      <c r="D141" s="18">
        <v>124</v>
      </c>
      <c r="E141" s="21">
        <f t="shared" si="9"/>
        <v>1689748384</v>
      </c>
      <c r="F141" s="21">
        <f t="shared" si="5"/>
        <v>870220417761</v>
      </c>
      <c r="G141" s="21">
        <f t="shared" si="6"/>
        <v>11226958561</v>
      </c>
      <c r="H141" s="22">
        <f t="shared" si="7"/>
        <v>0.32674749850411899</v>
      </c>
      <c r="I141" s="10"/>
    </row>
    <row r="142" spans="2:9" x14ac:dyDescent="0.25">
      <c r="B142" s="10"/>
      <c r="C142" s="10"/>
      <c r="D142" s="18">
        <v>125</v>
      </c>
      <c r="E142" s="21">
        <f t="shared" si="9"/>
        <v>11226958561</v>
      </c>
      <c r="F142" s="21">
        <f t="shared" si="5"/>
        <v>5781883658916</v>
      </c>
      <c r="G142" s="21">
        <f t="shared" si="6"/>
        <v>9447613092</v>
      </c>
      <c r="H142" s="22">
        <f t="shared" si="7"/>
        <v>0.27496172965038568</v>
      </c>
      <c r="I142" s="10"/>
    </row>
    <row r="143" spans="2:9" x14ac:dyDescent="0.25">
      <c r="B143" s="10"/>
      <c r="C143" s="10"/>
      <c r="D143" s="18">
        <v>126</v>
      </c>
      <c r="E143" s="21">
        <f t="shared" si="9"/>
        <v>9447613092</v>
      </c>
      <c r="F143" s="21">
        <f t="shared" si="5"/>
        <v>4865520742381</v>
      </c>
      <c r="G143" s="21">
        <f t="shared" si="6"/>
        <v>20797632493</v>
      </c>
      <c r="H143" s="22">
        <f t="shared" si="7"/>
        <v>0.6052907699777279</v>
      </c>
      <c r="I143" s="10"/>
    </row>
    <row r="144" spans="2:9" x14ac:dyDescent="0.25">
      <c r="B144" s="10"/>
      <c r="C144" s="10"/>
      <c r="D144" s="18">
        <v>127</v>
      </c>
      <c r="E144" s="21">
        <f t="shared" si="9"/>
        <v>20797632493</v>
      </c>
      <c r="F144" s="21">
        <f t="shared" si="5"/>
        <v>10710780733896</v>
      </c>
      <c r="G144" s="21">
        <f t="shared" si="6"/>
        <v>24902101448</v>
      </c>
      <c r="H144" s="22">
        <f t="shared" si="7"/>
        <v>0.72474653855897486</v>
      </c>
      <c r="I144" s="10"/>
    </row>
    <row r="145" spans="2:9" x14ac:dyDescent="0.25">
      <c r="B145" s="10"/>
      <c r="C145" s="10"/>
      <c r="D145" s="18">
        <v>128</v>
      </c>
      <c r="E145" s="21">
        <f t="shared" si="9"/>
        <v>24902101448</v>
      </c>
      <c r="F145" s="21">
        <f t="shared" si="5"/>
        <v>12824582245721</v>
      </c>
      <c r="G145" s="21">
        <f t="shared" si="6"/>
        <v>8399834457</v>
      </c>
      <c r="H145" s="22">
        <f t="shared" si="7"/>
        <v>0.24446735790115781</v>
      </c>
      <c r="I145" s="10"/>
    </row>
    <row r="146" spans="2:9" x14ac:dyDescent="0.25">
      <c r="B146" s="10"/>
      <c r="C146" s="10"/>
      <c r="D146" s="18">
        <v>129</v>
      </c>
      <c r="E146" s="21">
        <f t="shared" si="9"/>
        <v>8399834457</v>
      </c>
      <c r="F146" s="21">
        <f t="shared" si="5"/>
        <v>4325914745356</v>
      </c>
      <c r="G146" s="21">
        <f t="shared" si="6"/>
        <v>30947449356</v>
      </c>
      <c r="H146" s="22">
        <f t="shared" si="7"/>
        <v>0.90068931912537664</v>
      </c>
      <c r="I146" s="10"/>
    </row>
    <row r="147" spans="2:9" x14ac:dyDescent="0.25">
      <c r="B147" s="10"/>
      <c r="C147" s="10"/>
      <c r="D147" s="18">
        <v>130</v>
      </c>
      <c r="E147" s="21">
        <f t="shared" si="9"/>
        <v>30947449356</v>
      </c>
      <c r="F147" s="21">
        <f t="shared" ref="F147:F210" si="10">E$7 * E147 + H$7</f>
        <v>15937936418341</v>
      </c>
      <c r="G147" s="21">
        <f t="shared" ref="G147:G210" si="11">MOD(F147,F$7)</f>
        <v>29377553957</v>
      </c>
      <c r="H147" s="22">
        <f t="shared" ref="H147:H210" si="12">G147/F$7</f>
        <v>0.85499934959807433</v>
      </c>
      <c r="I147" s="10"/>
    </row>
    <row r="148" spans="2:9" x14ac:dyDescent="0.25">
      <c r="B148" s="10"/>
      <c r="C148" s="10"/>
      <c r="D148" s="18">
        <v>131</v>
      </c>
      <c r="E148" s="21">
        <f t="shared" si="9"/>
        <v>29377553957</v>
      </c>
      <c r="F148" s="21">
        <f t="shared" si="10"/>
        <v>15129440287856</v>
      </c>
      <c r="G148" s="21">
        <f t="shared" si="11"/>
        <v>11155405936</v>
      </c>
      <c r="H148" s="22">
        <f t="shared" si="12"/>
        <v>0.32466504303738475</v>
      </c>
      <c r="I148" s="10"/>
    </row>
    <row r="149" spans="2:9" x14ac:dyDescent="0.25">
      <c r="B149" s="10"/>
      <c r="C149" s="10"/>
      <c r="D149" s="18">
        <v>132</v>
      </c>
      <c r="E149" s="21">
        <f t="shared" si="9"/>
        <v>11155405936</v>
      </c>
      <c r="F149" s="21">
        <f t="shared" si="10"/>
        <v>5745034057041</v>
      </c>
      <c r="G149" s="21">
        <f t="shared" si="11"/>
        <v>6957749585</v>
      </c>
      <c r="H149" s="22">
        <f t="shared" si="12"/>
        <v>0.20249716428224929</v>
      </c>
      <c r="I149" s="10"/>
    </row>
    <row r="150" spans="2:9" x14ac:dyDescent="0.25">
      <c r="B150" s="10"/>
      <c r="C150" s="10"/>
      <c r="D150" s="18">
        <v>133</v>
      </c>
      <c r="E150" s="21">
        <f t="shared" si="9"/>
        <v>6957749585</v>
      </c>
      <c r="F150" s="21">
        <f t="shared" si="10"/>
        <v>3583241036276</v>
      </c>
      <c r="G150" s="21">
        <f t="shared" si="11"/>
        <v>9828246004</v>
      </c>
      <c r="H150" s="22">
        <f t="shared" si="12"/>
        <v>0.28603960538748652</v>
      </c>
      <c r="I150" s="10"/>
    </row>
    <row r="151" spans="2:9" x14ac:dyDescent="0.25">
      <c r="B151" s="10"/>
      <c r="C151" s="10"/>
      <c r="D151" s="18">
        <v>134</v>
      </c>
      <c r="E151" s="21">
        <f t="shared" si="9"/>
        <v>9828246004</v>
      </c>
      <c r="F151" s="21">
        <f t="shared" si="10"/>
        <v>5061546692061</v>
      </c>
      <c r="G151" s="21">
        <f t="shared" si="11"/>
        <v>10665151965</v>
      </c>
      <c r="H151" s="22">
        <f t="shared" si="12"/>
        <v>0.31039677458466031</v>
      </c>
      <c r="I151" s="10"/>
    </row>
    <row r="152" spans="2:9" x14ac:dyDescent="0.25">
      <c r="B152" s="10"/>
      <c r="C152" s="10"/>
      <c r="D152" s="18">
        <v>135</v>
      </c>
      <c r="E152" s="21">
        <f t="shared" si="9"/>
        <v>10665151965</v>
      </c>
      <c r="F152" s="21">
        <f t="shared" si="10"/>
        <v>5492553261976</v>
      </c>
      <c r="G152" s="21">
        <f t="shared" si="11"/>
        <v>29354861464</v>
      </c>
      <c r="H152" s="22">
        <f t="shared" si="12"/>
        <v>0.85433891112916172</v>
      </c>
      <c r="I152" s="10"/>
    </row>
    <row r="153" spans="2:9" x14ac:dyDescent="0.25">
      <c r="B153" s="10"/>
      <c r="C153" s="10"/>
      <c r="D153" s="18">
        <v>136</v>
      </c>
      <c r="E153" s="21">
        <f t="shared" si="9"/>
        <v>29354861464</v>
      </c>
      <c r="F153" s="21">
        <f t="shared" si="10"/>
        <v>15117753653961</v>
      </c>
      <c r="G153" s="21">
        <f t="shared" si="11"/>
        <v>33828510409</v>
      </c>
      <c r="H153" s="22">
        <f t="shared" si="12"/>
        <v>0.98453923154738732</v>
      </c>
      <c r="I153" s="10"/>
    </row>
    <row r="154" spans="2:9" x14ac:dyDescent="0.25">
      <c r="B154" s="10"/>
      <c r="C154" s="10"/>
      <c r="D154" s="18">
        <v>137</v>
      </c>
      <c r="E154" s="21">
        <f t="shared" si="9"/>
        <v>33828510409</v>
      </c>
      <c r="F154" s="21">
        <f t="shared" si="10"/>
        <v>17421682860636</v>
      </c>
      <c r="G154" s="21">
        <f t="shared" si="11"/>
        <v>1295508060</v>
      </c>
      <c r="H154" s="22">
        <f t="shared" si="12"/>
        <v>3.7704246933571994E-2</v>
      </c>
      <c r="I154" s="10"/>
    </row>
    <row r="155" spans="2:9" x14ac:dyDescent="0.25">
      <c r="B155" s="10"/>
      <c r="C155" s="10"/>
      <c r="D155" s="18">
        <v>138</v>
      </c>
      <c r="E155" s="21">
        <f t="shared" si="9"/>
        <v>1295508060</v>
      </c>
      <c r="F155" s="21">
        <f t="shared" si="10"/>
        <v>667186650901</v>
      </c>
      <c r="G155" s="21">
        <f t="shared" si="11"/>
        <v>14351621909</v>
      </c>
      <c r="H155" s="22">
        <f t="shared" si="12"/>
        <v>0.4176871708186809</v>
      </c>
      <c r="I155" s="10"/>
    </row>
    <row r="156" spans="2:9" x14ac:dyDescent="0.25">
      <c r="B156" s="10"/>
      <c r="C156" s="10"/>
      <c r="D156" s="18">
        <v>139</v>
      </c>
      <c r="E156" s="21">
        <f t="shared" si="9"/>
        <v>14351621909</v>
      </c>
      <c r="F156" s="21">
        <f t="shared" si="10"/>
        <v>7391085283136</v>
      </c>
      <c r="G156" s="21">
        <f t="shared" si="11"/>
        <v>3741534016</v>
      </c>
      <c r="H156" s="22">
        <f t="shared" si="12"/>
        <v>0.10889297164976597</v>
      </c>
      <c r="I156" s="10"/>
    </row>
    <row r="157" spans="2:9" x14ac:dyDescent="0.25">
      <c r="B157" s="10"/>
      <c r="C157" s="10"/>
      <c r="D157" s="18">
        <v>140</v>
      </c>
      <c r="E157" s="21">
        <f t="shared" si="9"/>
        <v>3741534016</v>
      </c>
      <c r="F157" s="21">
        <f t="shared" si="10"/>
        <v>1926890018241</v>
      </c>
      <c r="G157" s="21">
        <f t="shared" si="11"/>
        <v>2744669633</v>
      </c>
      <c r="H157" s="22">
        <f t="shared" si="12"/>
        <v>7.9880399658577517E-2</v>
      </c>
      <c r="I157" s="10"/>
    </row>
    <row r="158" spans="2:9" x14ac:dyDescent="0.25">
      <c r="B158" s="10"/>
      <c r="C158" s="10"/>
      <c r="D158" s="18">
        <v>141</v>
      </c>
      <c r="E158" s="21">
        <f t="shared" si="9"/>
        <v>2744669633</v>
      </c>
      <c r="F158" s="21">
        <f t="shared" si="10"/>
        <v>1413504860996</v>
      </c>
      <c r="G158" s="21">
        <f t="shared" si="11"/>
        <v>4755587908</v>
      </c>
      <c r="H158" s="22">
        <f t="shared" si="12"/>
        <v>0.13840582419652492</v>
      </c>
      <c r="I158" s="10"/>
    </row>
    <row r="159" spans="2:9" x14ac:dyDescent="0.25">
      <c r="B159" s="10"/>
      <c r="C159" s="10"/>
      <c r="D159" s="18">
        <v>142</v>
      </c>
      <c r="E159" s="21">
        <f t="shared" si="9"/>
        <v>4755587908</v>
      </c>
      <c r="F159" s="21">
        <f t="shared" si="10"/>
        <v>2449127772621</v>
      </c>
      <c r="G159" s="21">
        <f t="shared" si="11"/>
        <v>9586348493</v>
      </c>
      <c r="H159" s="22">
        <f t="shared" si="12"/>
        <v>0.27899946123943664</v>
      </c>
      <c r="I159" s="10"/>
    </row>
    <row r="160" spans="2:9" x14ac:dyDescent="0.25">
      <c r="B160" s="10"/>
      <c r="C160" s="10"/>
      <c r="D160" s="18">
        <v>143</v>
      </c>
      <c r="E160" s="21">
        <f t="shared" si="9"/>
        <v>9586348493</v>
      </c>
      <c r="F160" s="21">
        <f t="shared" si="10"/>
        <v>4936969473896</v>
      </c>
      <c r="G160" s="21">
        <f t="shared" si="11"/>
        <v>23526887272</v>
      </c>
      <c r="H160" s="22">
        <f t="shared" si="12"/>
        <v>0.68472253833897412</v>
      </c>
      <c r="I160" s="10"/>
    </row>
    <row r="161" spans="2:9" x14ac:dyDescent="0.25">
      <c r="B161" s="10"/>
      <c r="C161" s="10"/>
      <c r="D161" s="18">
        <v>144</v>
      </c>
      <c r="E161" s="21">
        <f t="shared" si="9"/>
        <v>23526887272</v>
      </c>
      <c r="F161" s="21">
        <f t="shared" si="10"/>
        <v>12116346945081</v>
      </c>
      <c r="G161" s="21">
        <f t="shared" si="11"/>
        <v>21719039545</v>
      </c>
      <c r="H161" s="22">
        <f t="shared" si="12"/>
        <v>0.63210724460077472</v>
      </c>
      <c r="I161" s="10"/>
    </row>
    <row r="162" spans="2:9" x14ac:dyDescent="0.25">
      <c r="B162" s="10"/>
      <c r="C162" s="10"/>
      <c r="D162" s="18">
        <v>145</v>
      </c>
      <c r="E162" s="21">
        <f t="shared" si="9"/>
        <v>21719039545</v>
      </c>
      <c r="F162" s="21">
        <f t="shared" si="10"/>
        <v>11185305365676</v>
      </c>
      <c r="G162" s="21">
        <f t="shared" si="11"/>
        <v>18390396076</v>
      </c>
      <c r="H162" s="22">
        <f t="shared" si="12"/>
        <v>0.53523096942808479</v>
      </c>
      <c r="I162" s="10"/>
    </row>
    <row r="163" spans="2:9" x14ac:dyDescent="0.25">
      <c r="B163" s="10"/>
      <c r="C163" s="10"/>
      <c r="D163" s="18">
        <v>146</v>
      </c>
      <c r="E163" s="21">
        <f t="shared" si="9"/>
        <v>18390396076</v>
      </c>
      <c r="F163" s="21">
        <f t="shared" si="10"/>
        <v>9471053979141</v>
      </c>
      <c r="G163" s="21">
        <f t="shared" si="11"/>
        <v>22125927941</v>
      </c>
      <c r="H163" s="22">
        <f t="shared" si="12"/>
        <v>0.64394925549277104</v>
      </c>
      <c r="I163" s="10"/>
    </row>
    <row r="164" spans="2:9" x14ac:dyDescent="0.25">
      <c r="B164" s="10"/>
      <c r="C164" s="10"/>
      <c r="D164" s="18">
        <v>147</v>
      </c>
      <c r="E164" s="21">
        <f t="shared" si="9"/>
        <v>22125927941</v>
      </c>
      <c r="F164" s="21">
        <f t="shared" si="10"/>
        <v>11394852889616</v>
      </c>
      <c r="G164" s="21">
        <f t="shared" si="11"/>
        <v>21779489808</v>
      </c>
      <c r="H164" s="22">
        <f t="shared" si="12"/>
        <v>0.63386657880619168</v>
      </c>
      <c r="I164" s="10"/>
    </row>
    <row r="165" spans="2:9" x14ac:dyDescent="0.25">
      <c r="B165" s="10"/>
      <c r="C165" s="10"/>
      <c r="D165" s="18">
        <v>148</v>
      </c>
      <c r="E165" s="21">
        <f t="shared" si="9"/>
        <v>21779489808</v>
      </c>
      <c r="F165" s="21">
        <f t="shared" si="10"/>
        <v>11216437251121</v>
      </c>
      <c r="G165" s="21">
        <f t="shared" si="11"/>
        <v>15162543153</v>
      </c>
      <c r="H165" s="22">
        <f t="shared" si="12"/>
        <v>0.44128808521782048</v>
      </c>
      <c r="I165" s="10"/>
    </row>
    <row r="166" spans="2:9" x14ac:dyDescent="0.25">
      <c r="B166" s="10"/>
      <c r="C166" s="10"/>
      <c r="D166" s="18">
        <v>149</v>
      </c>
      <c r="E166" s="21">
        <f t="shared" si="9"/>
        <v>15162543153</v>
      </c>
      <c r="F166" s="21">
        <f t="shared" si="10"/>
        <v>7808709723796</v>
      </c>
      <c r="G166" s="21">
        <f t="shared" si="11"/>
        <v>9049114260</v>
      </c>
      <c r="H166" s="22">
        <f t="shared" si="12"/>
        <v>0.26336388720665127</v>
      </c>
      <c r="I166" s="10"/>
    </row>
    <row r="167" spans="2:9" x14ac:dyDescent="0.25">
      <c r="B167" s="10"/>
      <c r="C167" s="10"/>
      <c r="D167" s="18">
        <v>150</v>
      </c>
      <c r="E167" s="21">
        <f t="shared" si="9"/>
        <v>9049114260</v>
      </c>
      <c r="F167" s="21">
        <f t="shared" si="10"/>
        <v>4660293843901</v>
      </c>
      <c r="G167" s="21">
        <f t="shared" si="11"/>
        <v>21729164221</v>
      </c>
      <c r="H167" s="22">
        <f t="shared" si="12"/>
        <v>0.63240191145450808</v>
      </c>
      <c r="I167" s="10"/>
    </row>
    <row r="168" spans="2:9" x14ac:dyDescent="0.25">
      <c r="B168" s="10"/>
      <c r="C168" s="10"/>
      <c r="D168" s="18">
        <v>151</v>
      </c>
      <c r="E168" s="21">
        <f t="shared" si="9"/>
        <v>21729164221</v>
      </c>
      <c r="F168" s="21">
        <f t="shared" si="10"/>
        <v>11190519573816</v>
      </c>
      <c r="G168" s="21">
        <f t="shared" si="11"/>
        <v>23604604216</v>
      </c>
      <c r="H168" s="22">
        <f t="shared" si="12"/>
        <v>0.68698439910076559</v>
      </c>
      <c r="I168" s="10"/>
    </row>
    <row r="169" spans="2:9" x14ac:dyDescent="0.25">
      <c r="B169" s="10"/>
      <c r="C169" s="10"/>
      <c r="D169" s="18">
        <v>152</v>
      </c>
      <c r="E169" s="21">
        <f t="shared" si="9"/>
        <v>23604604216</v>
      </c>
      <c r="F169" s="21">
        <f t="shared" si="10"/>
        <v>12156371171241</v>
      </c>
      <c r="G169" s="21">
        <f t="shared" si="11"/>
        <v>27383527337</v>
      </c>
      <c r="H169" s="22">
        <f t="shared" si="12"/>
        <v>0.79696553692338057</v>
      </c>
      <c r="I169" s="10"/>
    </row>
    <row r="170" spans="2:9" x14ac:dyDescent="0.25">
      <c r="B170" s="10"/>
      <c r="C170" s="10"/>
      <c r="D170" s="18">
        <v>153</v>
      </c>
      <c r="E170" s="21">
        <f t="shared" si="9"/>
        <v>27383527337</v>
      </c>
      <c r="F170" s="21">
        <f t="shared" si="10"/>
        <v>14102516578556</v>
      </c>
      <c r="G170" s="21">
        <f t="shared" si="11"/>
        <v>15023847676</v>
      </c>
      <c r="H170" s="22">
        <f t="shared" si="12"/>
        <v>0.43725151557009667</v>
      </c>
      <c r="I170" s="10"/>
    </row>
    <row r="171" spans="2:9" x14ac:dyDescent="0.25">
      <c r="B171" s="10"/>
      <c r="C171" s="10"/>
      <c r="D171" s="18">
        <v>154</v>
      </c>
      <c r="E171" s="21">
        <f t="shared" si="9"/>
        <v>15023847676</v>
      </c>
      <c r="F171" s="21">
        <f t="shared" si="10"/>
        <v>7737281553141</v>
      </c>
      <c r="G171" s="21">
        <f t="shared" si="11"/>
        <v>6340420341</v>
      </c>
      <c r="H171" s="22">
        <f t="shared" si="12"/>
        <v>0.18453051862888969</v>
      </c>
      <c r="I171" s="10"/>
    </row>
    <row r="172" spans="2:9" x14ac:dyDescent="0.25">
      <c r="B172" s="10"/>
      <c r="C172" s="10"/>
      <c r="D172" s="18">
        <v>155</v>
      </c>
      <c r="E172" s="21">
        <f t="shared" si="9"/>
        <v>6340420341</v>
      </c>
      <c r="F172" s="21">
        <f t="shared" si="10"/>
        <v>3265316475616</v>
      </c>
      <c r="G172" s="21">
        <f t="shared" si="11"/>
        <v>1141330656</v>
      </c>
      <c r="H172" s="22">
        <f t="shared" si="12"/>
        <v>3.3217093907296658E-2</v>
      </c>
      <c r="I172" s="10"/>
    </row>
    <row r="173" spans="2:9" x14ac:dyDescent="0.25">
      <c r="B173" s="10"/>
      <c r="C173" s="10"/>
      <c r="D173" s="18">
        <v>156</v>
      </c>
      <c r="E173" s="21">
        <f t="shared" si="9"/>
        <v>1141330656</v>
      </c>
      <c r="F173" s="21">
        <f t="shared" si="10"/>
        <v>587785287841</v>
      </c>
      <c r="G173" s="21">
        <f t="shared" si="11"/>
        <v>3669735585</v>
      </c>
      <c r="H173" s="22">
        <f t="shared" si="12"/>
        <v>0.10680336228688248</v>
      </c>
      <c r="I173" s="10"/>
    </row>
    <row r="174" spans="2:9" x14ac:dyDescent="0.25">
      <c r="B174" s="10"/>
      <c r="C174" s="10"/>
      <c r="D174" s="18">
        <v>157</v>
      </c>
      <c r="E174" s="21">
        <f t="shared" si="9"/>
        <v>3669735585</v>
      </c>
      <c r="F174" s="21">
        <f t="shared" si="10"/>
        <v>1889913826276</v>
      </c>
      <c r="G174" s="21">
        <f t="shared" si="11"/>
        <v>128216036</v>
      </c>
      <c r="H174" s="22">
        <f t="shared" si="12"/>
        <v>3.731577773578465E-3</v>
      </c>
      <c r="I174" s="10"/>
    </row>
    <row r="175" spans="2:9" x14ac:dyDescent="0.25">
      <c r="B175" s="10"/>
      <c r="C175" s="10"/>
      <c r="D175" s="18">
        <v>158</v>
      </c>
      <c r="E175" s="21">
        <f t="shared" si="9"/>
        <v>128216036</v>
      </c>
      <c r="F175" s="21">
        <f t="shared" si="10"/>
        <v>66031258541</v>
      </c>
      <c r="G175" s="21">
        <f t="shared" si="11"/>
        <v>31671520173</v>
      </c>
      <c r="H175" s="22">
        <f t="shared" si="12"/>
        <v>0.9217625534220133</v>
      </c>
      <c r="I175" s="10"/>
    </row>
    <row r="176" spans="2:9" x14ac:dyDescent="0.25">
      <c r="B176" s="10"/>
      <c r="C176" s="10"/>
      <c r="D176" s="18">
        <v>159</v>
      </c>
      <c r="E176" s="21">
        <f t="shared" si="9"/>
        <v>31671520173</v>
      </c>
      <c r="F176" s="21">
        <f t="shared" si="10"/>
        <v>16310832889096</v>
      </c>
      <c r="G176" s="21">
        <f t="shared" si="11"/>
        <v>24316902664</v>
      </c>
      <c r="H176" s="22">
        <f t="shared" si="12"/>
        <v>0.70771501236595213</v>
      </c>
      <c r="I176" s="10"/>
    </row>
    <row r="177" spans="2:9" x14ac:dyDescent="0.25">
      <c r="B177" s="10"/>
      <c r="C177" s="10"/>
      <c r="D177" s="18">
        <v>160</v>
      </c>
      <c r="E177" s="21">
        <f t="shared" si="9"/>
        <v>24316902664</v>
      </c>
      <c r="F177" s="21">
        <f t="shared" si="10"/>
        <v>12523204871961</v>
      </c>
      <c r="G177" s="21">
        <f t="shared" si="11"/>
        <v>16260106009</v>
      </c>
      <c r="H177" s="22">
        <f t="shared" si="12"/>
        <v>0.47323136849445291</v>
      </c>
      <c r="I177" s="10"/>
    </row>
    <row r="178" spans="2:9" x14ac:dyDescent="0.25">
      <c r="B178" s="10"/>
      <c r="C178" s="10"/>
      <c r="D178" s="18">
        <v>161</v>
      </c>
      <c r="E178" s="21">
        <f t="shared" si="9"/>
        <v>16260106009</v>
      </c>
      <c r="F178" s="21">
        <f t="shared" si="10"/>
        <v>8373954594636</v>
      </c>
      <c r="G178" s="21">
        <f t="shared" si="11"/>
        <v>24538171212</v>
      </c>
      <c r="H178" s="22">
        <f t="shared" si="12"/>
        <v>0.71415477467235178</v>
      </c>
      <c r="I178" s="10"/>
    </row>
    <row r="179" spans="2:9" x14ac:dyDescent="0.25">
      <c r="B179" s="10"/>
      <c r="C179" s="10"/>
      <c r="D179" s="18">
        <v>162</v>
      </c>
      <c r="E179" s="21">
        <f t="shared" si="9"/>
        <v>24538171212</v>
      </c>
      <c r="F179" s="21">
        <f t="shared" si="10"/>
        <v>12637158174181</v>
      </c>
      <c r="G179" s="21">
        <f t="shared" si="11"/>
        <v>27134193125</v>
      </c>
      <c r="H179" s="22">
        <f t="shared" si="12"/>
        <v>0.78970895629026927</v>
      </c>
      <c r="I179" s="10"/>
    </row>
    <row r="180" spans="2:9" x14ac:dyDescent="0.25">
      <c r="B180" s="10"/>
      <c r="C180" s="10"/>
      <c r="D180" s="18">
        <v>163</v>
      </c>
      <c r="E180" s="21">
        <f t="shared" si="9"/>
        <v>27134193125</v>
      </c>
      <c r="F180" s="21">
        <f t="shared" si="10"/>
        <v>13974109459376</v>
      </c>
      <c r="G180" s="21">
        <f t="shared" si="11"/>
        <v>24055681968</v>
      </c>
      <c r="H180" s="22">
        <f t="shared" si="12"/>
        <v>0.70011248951777816</v>
      </c>
      <c r="I180" s="10"/>
    </row>
    <row r="181" spans="2:9" x14ac:dyDescent="0.25">
      <c r="B181" s="10"/>
      <c r="C181" s="10"/>
      <c r="D181" s="18">
        <v>164</v>
      </c>
      <c r="E181" s="21">
        <f t="shared" si="9"/>
        <v>24055681968</v>
      </c>
      <c r="F181" s="21">
        <f t="shared" si="10"/>
        <v>12388676213521</v>
      </c>
      <c r="G181" s="21">
        <f t="shared" si="11"/>
        <v>19170401041</v>
      </c>
      <c r="H181" s="22">
        <f t="shared" si="12"/>
        <v>0.5579321016848553</v>
      </c>
      <c r="I181" s="10"/>
    </row>
    <row r="182" spans="2:9" x14ac:dyDescent="0.25">
      <c r="B182" s="10"/>
      <c r="C182" s="10"/>
      <c r="D182" s="18">
        <v>165</v>
      </c>
      <c r="E182" s="21">
        <f t="shared" ref="E182:E245" si="13">G181</f>
        <v>19170401041</v>
      </c>
      <c r="F182" s="21">
        <f t="shared" si="10"/>
        <v>9872756536116</v>
      </c>
      <c r="G182" s="21">
        <f t="shared" si="11"/>
        <v>11511624500</v>
      </c>
      <c r="H182" s="22">
        <f t="shared" si="12"/>
        <v>0.33503236772958189</v>
      </c>
      <c r="I182" s="10"/>
    </row>
    <row r="183" spans="2:9" x14ac:dyDescent="0.25">
      <c r="B183" s="10"/>
      <c r="C183" s="10"/>
      <c r="D183" s="18">
        <v>166</v>
      </c>
      <c r="E183" s="21">
        <f t="shared" si="13"/>
        <v>11511624500</v>
      </c>
      <c r="F183" s="21">
        <f t="shared" si="10"/>
        <v>5928486617501</v>
      </c>
      <c r="G183" s="21">
        <f t="shared" si="11"/>
        <v>18611618205</v>
      </c>
      <c r="H183" s="22">
        <f t="shared" si="12"/>
        <v>0.54166938076377846</v>
      </c>
      <c r="I183" s="10"/>
    </row>
    <row r="184" spans="2:9" x14ac:dyDescent="0.25">
      <c r="B184" s="10"/>
      <c r="C184" s="10"/>
      <c r="D184" s="18">
        <v>167</v>
      </c>
      <c r="E184" s="21">
        <f t="shared" si="13"/>
        <v>18611618205</v>
      </c>
      <c r="F184" s="21">
        <f t="shared" si="10"/>
        <v>9584983375576</v>
      </c>
      <c r="G184" s="21">
        <f t="shared" si="11"/>
        <v>32976109272</v>
      </c>
      <c r="H184" s="22">
        <f t="shared" si="12"/>
        <v>0.95973109337501228</v>
      </c>
      <c r="I184" s="10"/>
    </row>
    <row r="185" spans="2:9" x14ac:dyDescent="0.25">
      <c r="B185" s="10"/>
      <c r="C185" s="10"/>
      <c r="D185" s="18">
        <v>168</v>
      </c>
      <c r="E185" s="21">
        <f t="shared" si="13"/>
        <v>32976109272</v>
      </c>
      <c r="F185" s="21">
        <f t="shared" si="10"/>
        <v>16982696275081</v>
      </c>
      <c r="G185" s="21">
        <f t="shared" si="11"/>
        <v>8985521289</v>
      </c>
      <c r="H185" s="22">
        <f t="shared" si="12"/>
        <v>0.26151308816042729</v>
      </c>
      <c r="I185" s="10"/>
    </row>
    <row r="186" spans="2:9" x14ac:dyDescent="0.25">
      <c r="B186" s="10"/>
      <c r="C186" s="10"/>
      <c r="D186" s="18">
        <v>169</v>
      </c>
      <c r="E186" s="21">
        <f t="shared" si="13"/>
        <v>8985521289</v>
      </c>
      <c r="F186" s="21">
        <f t="shared" si="10"/>
        <v>4627543463836</v>
      </c>
      <c r="G186" s="21">
        <f t="shared" si="11"/>
        <v>23338522524</v>
      </c>
      <c r="H186" s="22">
        <f t="shared" si="12"/>
        <v>0.67924040264915675</v>
      </c>
      <c r="I186" s="10"/>
    </row>
    <row r="187" spans="2:9" x14ac:dyDescent="0.25">
      <c r="B187" s="10"/>
      <c r="C187" s="10"/>
      <c r="D187" s="18">
        <v>170</v>
      </c>
      <c r="E187" s="21">
        <f t="shared" si="13"/>
        <v>23338522524</v>
      </c>
      <c r="F187" s="21">
        <f t="shared" si="10"/>
        <v>12019339099861</v>
      </c>
      <c r="G187" s="21">
        <f t="shared" si="11"/>
        <v>27790409429</v>
      </c>
      <c r="H187" s="22">
        <f t="shared" si="12"/>
        <v>0.80880736434482969</v>
      </c>
      <c r="I187" s="10"/>
    </row>
    <row r="188" spans="2:9" x14ac:dyDescent="0.25">
      <c r="B188" s="10"/>
      <c r="C188" s="10"/>
      <c r="D188" s="18">
        <v>171</v>
      </c>
      <c r="E188" s="21">
        <f t="shared" si="13"/>
        <v>27790409429</v>
      </c>
      <c r="F188" s="21">
        <f t="shared" si="10"/>
        <v>14312060855936</v>
      </c>
      <c r="G188" s="21">
        <f t="shared" si="11"/>
        <v>18409694848</v>
      </c>
      <c r="H188" s="22">
        <f t="shared" si="12"/>
        <v>0.53579263761639595</v>
      </c>
      <c r="I188" s="10"/>
    </row>
    <row r="189" spans="2:9" x14ac:dyDescent="0.25">
      <c r="B189" s="10"/>
      <c r="C189" s="10"/>
      <c r="D189" s="18">
        <v>172</v>
      </c>
      <c r="E189" s="21">
        <f t="shared" si="13"/>
        <v>18409694848</v>
      </c>
      <c r="F189" s="21">
        <f t="shared" si="10"/>
        <v>9480992846721</v>
      </c>
      <c r="G189" s="21">
        <f t="shared" si="11"/>
        <v>32064795521</v>
      </c>
      <c r="H189" s="22">
        <f t="shared" si="12"/>
        <v>0.93320837247301824</v>
      </c>
      <c r="I189" s="10"/>
    </row>
    <row r="190" spans="2:9" x14ac:dyDescent="0.25">
      <c r="B190" s="10"/>
      <c r="C190" s="10"/>
      <c r="D190" s="18">
        <v>173</v>
      </c>
      <c r="E190" s="21">
        <f t="shared" si="13"/>
        <v>32064795521</v>
      </c>
      <c r="F190" s="21">
        <f t="shared" si="10"/>
        <v>16513369693316</v>
      </c>
      <c r="G190" s="21">
        <f t="shared" si="11"/>
        <v>20695276676</v>
      </c>
      <c r="H190" s="22">
        <f t="shared" si="12"/>
        <v>0.60231182363349944</v>
      </c>
      <c r="I190" s="10"/>
    </row>
    <row r="191" spans="2:9" x14ac:dyDescent="0.25">
      <c r="B191" s="10"/>
      <c r="C191" s="10"/>
      <c r="D191" s="18">
        <v>174</v>
      </c>
      <c r="E191" s="21">
        <f t="shared" si="13"/>
        <v>20695276676</v>
      </c>
      <c r="F191" s="21">
        <f t="shared" si="10"/>
        <v>10658067488141</v>
      </c>
      <c r="G191" s="21">
        <f t="shared" si="11"/>
        <v>6548594061</v>
      </c>
      <c r="H191" s="22">
        <f t="shared" si="12"/>
        <v>0.19058917128131725</v>
      </c>
      <c r="I191" s="10"/>
    </row>
    <row r="192" spans="2:9" x14ac:dyDescent="0.25">
      <c r="B192" s="10"/>
      <c r="C192" s="10"/>
      <c r="D192" s="18">
        <v>175</v>
      </c>
      <c r="E192" s="21">
        <f t="shared" si="13"/>
        <v>6548594061</v>
      </c>
      <c r="F192" s="21">
        <f t="shared" si="10"/>
        <v>3372525941416</v>
      </c>
      <c r="G192" s="21">
        <f t="shared" si="11"/>
        <v>5271581352</v>
      </c>
      <c r="H192" s="22">
        <f t="shared" si="12"/>
        <v>0.15342320990748703</v>
      </c>
      <c r="I192" s="10"/>
    </row>
    <row r="193" spans="2:9" x14ac:dyDescent="0.25">
      <c r="B193" s="10"/>
      <c r="C193" s="10"/>
      <c r="D193" s="18">
        <v>176</v>
      </c>
      <c r="E193" s="21">
        <f t="shared" si="13"/>
        <v>5271581352</v>
      </c>
      <c r="F193" s="21">
        <f t="shared" si="10"/>
        <v>2714864396281</v>
      </c>
      <c r="G193" s="21">
        <f t="shared" si="11"/>
        <v>445065209</v>
      </c>
      <c r="H193" s="22">
        <f t="shared" si="12"/>
        <v>1.2953102384926751E-2</v>
      </c>
      <c r="I193" s="10"/>
    </row>
    <row r="194" spans="2:9" x14ac:dyDescent="0.25">
      <c r="B194" s="10"/>
      <c r="C194" s="10"/>
      <c r="D194" s="18">
        <v>177</v>
      </c>
      <c r="E194" s="21">
        <f t="shared" si="13"/>
        <v>445065209</v>
      </c>
      <c r="F194" s="21">
        <f t="shared" si="10"/>
        <v>229208582636</v>
      </c>
      <c r="G194" s="21">
        <f t="shared" si="11"/>
        <v>23050152428</v>
      </c>
      <c r="H194" s="22">
        <f t="shared" si="12"/>
        <v>0.67084772826638073</v>
      </c>
      <c r="I194" s="10"/>
    </row>
    <row r="195" spans="2:9" x14ac:dyDescent="0.25">
      <c r="B195" s="10"/>
      <c r="C195" s="10"/>
      <c r="D195" s="18">
        <v>178</v>
      </c>
      <c r="E195" s="21">
        <f t="shared" si="13"/>
        <v>23050152428</v>
      </c>
      <c r="F195" s="21">
        <f t="shared" si="10"/>
        <v>11870828500421</v>
      </c>
      <c r="G195" s="21">
        <f t="shared" si="11"/>
        <v>16718763461</v>
      </c>
      <c r="H195" s="22">
        <f t="shared" si="12"/>
        <v>0.48658005721517839</v>
      </c>
      <c r="I195" s="10"/>
    </row>
    <row r="196" spans="2:9" x14ac:dyDescent="0.25">
      <c r="B196" s="10"/>
      <c r="C196" s="10"/>
      <c r="D196" s="18">
        <v>179</v>
      </c>
      <c r="E196" s="21">
        <f t="shared" si="13"/>
        <v>16718763461</v>
      </c>
      <c r="F196" s="21">
        <f t="shared" si="10"/>
        <v>8610163182416</v>
      </c>
      <c r="G196" s="21">
        <f t="shared" si="11"/>
        <v>20228590416</v>
      </c>
      <c r="H196" s="22">
        <f t="shared" si="12"/>
        <v>0.5887294658459723</v>
      </c>
      <c r="I196" s="10"/>
    </row>
    <row r="197" spans="2:9" x14ac:dyDescent="0.25">
      <c r="B197" s="10"/>
      <c r="C197" s="10"/>
      <c r="D197" s="18">
        <v>180</v>
      </c>
      <c r="E197" s="21">
        <f t="shared" si="13"/>
        <v>20228590416</v>
      </c>
      <c r="F197" s="21">
        <f t="shared" si="10"/>
        <v>10417724064241</v>
      </c>
      <c r="G197" s="21">
        <f t="shared" si="11"/>
        <v>6723338737</v>
      </c>
      <c r="H197" s="22">
        <f t="shared" si="12"/>
        <v>0.19567491070483811</v>
      </c>
      <c r="I197" s="10"/>
    </row>
    <row r="198" spans="2:9" x14ac:dyDescent="0.25">
      <c r="B198" s="10"/>
      <c r="C198" s="10"/>
      <c r="D198" s="18">
        <v>181</v>
      </c>
      <c r="E198" s="21">
        <f t="shared" si="13"/>
        <v>6723338737</v>
      </c>
      <c r="F198" s="21">
        <f t="shared" si="10"/>
        <v>3462519449556</v>
      </c>
      <c r="G198" s="21">
        <f t="shared" si="11"/>
        <v>26545612756</v>
      </c>
      <c r="H198" s="22">
        <f t="shared" si="12"/>
        <v>0.77257901302073151</v>
      </c>
      <c r="I198" s="10"/>
    </row>
    <row r="199" spans="2:9" x14ac:dyDescent="0.25">
      <c r="B199" s="10"/>
      <c r="C199" s="10"/>
      <c r="D199" s="18">
        <v>182</v>
      </c>
      <c r="E199" s="21">
        <f t="shared" si="13"/>
        <v>26545612756</v>
      </c>
      <c r="F199" s="21">
        <f t="shared" si="10"/>
        <v>13670990569341</v>
      </c>
      <c r="G199" s="21">
        <f t="shared" si="11"/>
        <v>30174437245</v>
      </c>
      <c r="H199" s="22">
        <f t="shared" si="12"/>
        <v>0.87819170570583083</v>
      </c>
      <c r="I199" s="10"/>
    </row>
    <row r="200" spans="2:9" x14ac:dyDescent="0.25">
      <c r="B200" s="10"/>
      <c r="C200" s="10"/>
      <c r="D200" s="18">
        <v>183</v>
      </c>
      <c r="E200" s="21">
        <f t="shared" si="13"/>
        <v>30174437245</v>
      </c>
      <c r="F200" s="21">
        <f t="shared" si="10"/>
        <v>15539835181176</v>
      </c>
      <c r="G200" s="21">
        <f t="shared" si="11"/>
        <v>9233438840</v>
      </c>
      <c r="H200" s="22">
        <f t="shared" si="12"/>
        <v>0.26872843853197992</v>
      </c>
      <c r="I200" s="10"/>
    </row>
    <row r="201" spans="2:9" x14ac:dyDescent="0.25">
      <c r="B201" s="10"/>
      <c r="C201" s="10"/>
      <c r="D201" s="18">
        <v>184</v>
      </c>
      <c r="E201" s="21">
        <f t="shared" si="13"/>
        <v>9233438840</v>
      </c>
      <c r="F201" s="21">
        <f t="shared" si="10"/>
        <v>4755221002601</v>
      </c>
      <c r="G201" s="21">
        <f t="shared" si="11"/>
        <v>13577107817</v>
      </c>
      <c r="H201" s="22">
        <f t="shared" si="12"/>
        <v>0.39514584399876185</v>
      </c>
      <c r="I201" s="10"/>
    </row>
    <row r="202" spans="2:9" x14ac:dyDescent="0.25">
      <c r="B202" s="10"/>
      <c r="C202" s="10"/>
      <c r="D202" s="18">
        <v>185</v>
      </c>
      <c r="E202" s="21">
        <f t="shared" si="13"/>
        <v>13577107817</v>
      </c>
      <c r="F202" s="21">
        <f t="shared" si="10"/>
        <v>6992210525756</v>
      </c>
      <c r="G202" s="21">
        <f t="shared" si="11"/>
        <v>17183637052</v>
      </c>
      <c r="H202" s="22">
        <f t="shared" si="12"/>
        <v>0.50010965939145535</v>
      </c>
      <c r="I202" s="10"/>
    </row>
    <row r="203" spans="2:9" x14ac:dyDescent="0.25">
      <c r="B203" s="10"/>
      <c r="C203" s="10"/>
      <c r="D203" s="18">
        <v>186</v>
      </c>
      <c r="E203" s="21">
        <f t="shared" si="13"/>
        <v>17183637052</v>
      </c>
      <c r="F203" s="21">
        <f t="shared" si="10"/>
        <v>8849573081781</v>
      </c>
      <c r="G203" s="21">
        <f t="shared" si="11"/>
        <v>19120321205</v>
      </c>
      <c r="H203" s="22">
        <f t="shared" si="12"/>
        <v>0.55647458662861027</v>
      </c>
      <c r="I203" s="10"/>
    </row>
    <row r="204" spans="2:9" x14ac:dyDescent="0.25">
      <c r="B204" s="10"/>
      <c r="C204" s="10"/>
      <c r="D204" s="18">
        <v>187</v>
      </c>
      <c r="E204" s="21">
        <f t="shared" si="13"/>
        <v>19120321205</v>
      </c>
      <c r="F204" s="21">
        <f t="shared" si="10"/>
        <v>9846965420576</v>
      </c>
      <c r="G204" s="21">
        <f t="shared" si="11"/>
        <v>20080247328</v>
      </c>
      <c r="H204" s="22">
        <f t="shared" si="12"/>
        <v>0.58441211376339197</v>
      </c>
      <c r="I204" s="10"/>
    </row>
    <row r="205" spans="2:9" x14ac:dyDescent="0.25">
      <c r="B205" s="10"/>
      <c r="C205" s="10"/>
      <c r="D205" s="18">
        <v>188</v>
      </c>
      <c r="E205" s="21">
        <f t="shared" si="13"/>
        <v>20080247328</v>
      </c>
      <c r="F205" s="21">
        <f t="shared" si="10"/>
        <v>10341327373921</v>
      </c>
      <c r="G205" s="21">
        <f t="shared" si="11"/>
        <v>33405863521</v>
      </c>
      <c r="H205" s="22">
        <f t="shared" si="12"/>
        <v>0.9722385881759692</v>
      </c>
      <c r="I205" s="10"/>
    </row>
    <row r="206" spans="2:9" x14ac:dyDescent="0.25">
      <c r="B206" s="10"/>
      <c r="C206" s="10"/>
      <c r="D206" s="18">
        <v>189</v>
      </c>
      <c r="E206" s="21">
        <f t="shared" si="13"/>
        <v>33405863521</v>
      </c>
      <c r="F206" s="21">
        <f t="shared" si="10"/>
        <v>17204019713316</v>
      </c>
      <c r="G206" s="21">
        <f t="shared" si="11"/>
        <v>24150529316</v>
      </c>
      <c r="H206" s="22">
        <f t="shared" si="12"/>
        <v>0.70287291065324098</v>
      </c>
      <c r="I206" s="10"/>
    </row>
    <row r="207" spans="2:9" x14ac:dyDescent="0.25">
      <c r="B207" s="10"/>
      <c r="C207" s="10"/>
      <c r="D207" s="18">
        <v>190</v>
      </c>
      <c r="E207" s="21">
        <f t="shared" si="13"/>
        <v>24150529316</v>
      </c>
      <c r="F207" s="21">
        <f t="shared" si="10"/>
        <v>12437522597741</v>
      </c>
      <c r="G207" s="21">
        <f t="shared" si="11"/>
        <v>33657046893</v>
      </c>
      <c r="H207" s="22">
        <f t="shared" si="12"/>
        <v>0.97954898644820787</v>
      </c>
      <c r="I207" s="10"/>
    </row>
    <row r="208" spans="2:9" x14ac:dyDescent="0.25">
      <c r="B208" s="10"/>
      <c r="C208" s="10"/>
      <c r="D208" s="18">
        <v>191</v>
      </c>
      <c r="E208" s="21">
        <f t="shared" si="13"/>
        <v>33657046893</v>
      </c>
      <c r="F208" s="21">
        <f t="shared" si="10"/>
        <v>17333379149896</v>
      </c>
      <c r="G208" s="21">
        <f t="shared" si="11"/>
        <v>16071012424</v>
      </c>
      <c r="H208" s="22">
        <f t="shared" si="12"/>
        <v>0.46772802085615695</v>
      </c>
      <c r="I208" s="10"/>
    </row>
    <row r="209" spans="2:9" x14ac:dyDescent="0.25">
      <c r="B209" s="10"/>
      <c r="C209" s="10"/>
      <c r="D209" s="18">
        <v>192</v>
      </c>
      <c r="E209" s="21">
        <f t="shared" si="13"/>
        <v>16071012424</v>
      </c>
      <c r="F209" s="21">
        <f t="shared" si="10"/>
        <v>8276571398361</v>
      </c>
      <c r="G209" s="21">
        <f t="shared" si="11"/>
        <v>30234190041</v>
      </c>
      <c r="H209" s="22">
        <f t="shared" si="12"/>
        <v>0.87993074094993062</v>
      </c>
      <c r="I209" s="10"/>
    </row>
    <row r="210" spans="2:9" x14ac:dyDescent="0.25">
      <c r="B210" s="10"/>
      <c r="C210" s="10"/>
      <c r="D210" s="18">
        <v>193</v>
      </c>
      <c r="E210" s="21">
        <f t="shared" si="13"/>
        <v>30234190041</v>
      </c>
      <c r="F210" s="21">
        <f t="shared" si="10"/>
        <v>15570607871116</v>
      </c>
      <c r="G210" s="21">
        <f t="shared" si="11"/>
        <v>5646390412</v>
      </c>
      <c r="H210" s="22">
        <f t="shared" si="12"/>
        <v>0.16433158924337476</v>
      </c>
      <c r="I210" s="10"/>
    </row>
    <row r="211" spans="2:9" x14ac:dyDescent="0.25">
      <c r="B211" s="10"/>
      <c r="C211" s="10"/>
      <c r="D211" s="18">
        <v>194</v>
      </c>
      <c r="E211" s="21">
        <f t="shared" si="13"/>
        <v>5646390412</v>
      </c>
      <c r="F211" s="21">
        <f t="shared" ref="F211:F274" si="14">E$7 * E211 + H$7</f>
        <v>2907891062181</v>
      </c>
      <c r="G211" s="21">
        <f t="shared" ref="G211:G274" si="15">MOD(F211,F$7)</f>
        <v>21673039269</v>
      </c>
      <c r="H211" s="22">
        <f t="shared" ref="H211:H274" si="16">G211/F$7</f>
        <v>0.63076846036710776</v>
      </c>
      <c r="I211" s="10"/>
    </row>
    <row r="212" spans="2:9" x14ac:dyDescent="0.25">
      <c r="B212" s="10"/>
      <c r="C212" s="10"/>
      <c r="D212" s="18">
        <v>195</v>
      </c>
      <c r="E212" s="21">
        <f t="shared" si="13"/>
        <v>21673039269</v>
      </c>
      <c r="F212" s="21">
        <f t="shared" si="14"/>
        <v>11161615223536</v>
      </c>
      <c r="G212" s="21">
        <f t="shared" si="15"/>
        <v>29059992304</v>
      </c>
      <c r="H212" s="22">
        <f t="shared" si="16"/>
        <v>0.84575708908960223</v>
      </c>
      <c r="I212" s="10"/>
    </row>
    <row r="213" spans="2:9" x14ac:dyDescent="0.25">
      <c r="B213" s="10"/>
      <c r="C213" s="10"/>
      <c r="D213" s="18">
        <v>196</v>
      </c>
      <c r="E213" s="21">
        <f t="shared" si="13"/>
        <v>29059992304</v>
      </c>
      <c r="F213" s="21">
        <f t="shared" si="14"/>
        <v>14965896036561</v>
      </c>
      <c r="G213" s="21">
        <f t="shared" si="15"/>
        <v>19409846481</v>
      </c>
      <c r="H213" s="22">
        <f t="shared" si="16"/>
        <v>0.5649008811742533</v>
      </c>
      <c r="I213" s="10"/>
    </row>
    <row r="214" spans="2:9" x14ac:dyDescent="0.25">
      <c r="B214" s="10"/>
      <c r="C214" s="10"/>
      <c r="D214" s="18">
        <v>197</v>
      </c>
      <c r="E214" s="21">
        <f t="shared" si="13"/>
        <v>19409846481</v>
      </c>
      <c r="F214" s="21">
        <f t="shared" si="14"/>
        <v>9996070937716</v>
      </c>
      <c r="G214" s="21">
        <f t="shared" si="15"/>
        <v>31746810996</v>
      </c>
      <c r="H214" s="22">
        <f t="shared" si="16"/>
        <v>0.92395380476955324</v>
      </c>
      <c r="I214" s="10"/>
    </row>
    <row r="215" spans="2:9" x14ac:dyDescent="0.25">
      <c r="B215" s="10"/>
      <c r="C215" s="10"/>
      <c r="D215" s="18">
        <v>198</v>
      </c>
      <c r="E215" s="21">
        <f t="shared" si="13"/>
        <v>31746810996</v>
      </c>
      <c r="F215" s="21">
        <f t="shared" si="14"/>
        <v>16349607662941</v>
      </c>
      <c r="G215" s="21">
        <f t="shared" si="15"/>
        <v>28731938141</v>
      </c>
      <c r="H215" s="22">
        <f t="shared" si="16"/>
        <v>0.83620945634902455</v>
      </c>
      <c r="I215" s="10"/>
    </row>
    <row r="216" spans="2:9" x14ac:dyDescent="0.25">
      <c r="B216" s="10"/>
      <c r="C216" s="10"/>
      <c r="D216" s="18">
        <v>199</v>
      </c>
      <c r="E216" s="21">
        <f t="shared" si="13"/>
        <v>28731938141</v>
      </c>
      <c r="F216" s="21">
        <f t="shared" si="14"/>
        <v>14796948142616</v>
      </c>
      <c r="G216" s="21">
        <f t="shared" si="15"/>
        <v>22260644376</v>
      </c>
      <c r="H216" s="22">
        <f t="shared" si="16"/>
        <v>0.64787001977674663</v>
      </c>
      <c r="I216" s="10"/>
    </row>
    <row r="217" spans="2:9" x14ac:dyDescent="0.25">
      <c r="B217" s="10"/>
      <c r="C217" s="10"/>
      <c r="D217" s="18">
        <v>200</v>
      </c>
      <c r="E217" s="21">
        <f t="shared" si="13"/>
        <v>22260644376</v>
      </c>
      <c r="F217" s="21">
        <f t="shared" si="14"/>
        <v>11464231853641</v>
      </c>
      <c r="G217" s="21">
        <f t="shared" si="15"/>
        <v>22438977097</v>
      </c>
      <c r="H217" s="22">
        <f t="shared" si="16"/>
        <v>0.65306018505361862</v>
      </c>
      <c r="I217" s="10"/>
    </row>
    <row r="218" spans="2:9" x14ac:dyDescent="0.25">
      <c r="B218" s="10"/>
      <c r="C218" s="10"/>
      <c r="D218" s="18">
        <v>201</v>
      </c>
      <c r="E218" s="21">
        <f t="shared" si="13"/>
        <v>22438977097</v>
      </c>
      <c r="F218" s="21">
        <f t="shared" si="14"/>
        <v>11556073204956</v>
      </c>
      <c r="G218" s="21">
        <f t="shared" si="15"/>
        <v>11201113308</v>
      </c>
      <c r="H218" s="22">
        <f t="shared" si="16"/>
        <v>0.32599530264269561</v>
      </c>
      <c r="I218" s="10"/>
    </row>
    <row r="219" spans="2:9" x14ac:dyDescent="0.25">
      <c r="B219" s="10"/>
      <c r="C219" s="10"/>
      <c r="D219" s="18">
        <v>202</v>
      </c>
      <c r="E219" s="21">
        <f t="shared" si="13"/>
        <v>11201113308</v>
      </c>
      <c r="F219" s="21">
        <f t="shared" si="14"/>
        <v>5768573353621</v>
      </c>
      <c r="G219" s="21">
        <f t="shared" si="15"/>
        <v>30497046165</v>
      </c>
      <c r="H219" s="22">
        <f t="shared" si="16"/>
        <v>0.88758086101734079</v>
      </c>
      <c r="I219" s="10"/>
    </row>
    <row r="220" spans="2:9" x14ac:dyDescent="0.25">
      <c r="B220" s="10"/>
      <c r="C220" s="10"/>
      <c r="D220" s="18">
        <v>203</v>
      </c>
      <c r="E220" s="21">
        <f t="shared" si="13"/>
        <v>30497046165</v>
      </c>
      <c r="F220" s="21">
        <f t="shared" si="14"/>
        <v>15705978774976</v>
      </c>
      <c r="G220" s="21">
        <f t="shared" si="15"/>
        <v>3578340800</v>
      </c>
      <c r="H220" s="22">
        <f t="shared" si="16"/>
        <v>0.10414342395961285</v>
      </c>
      <c r="I220" s="10"/>
    </row>
    <row r="221" spans="2:9" x14ac:dyDescent="0.25">
      <c r="B221" s="10"/>
      <c r="C221" s="10"/>
      <c r="D221" s="18">
        <v>204</v>
      </c>
      <c r="E221" s="21">
        <f t="shared" si="13"/>
        <v>3578340800</v>
      </c>
      <c r="F221" s="21">
        <f t="shared" si="14"/>
        <v>1842845512001</v>
      </c>
      <c r="G221" s="21">
        <f t="shared" si="15"/>
        <v>21779378497</v>
      </c>
      <c r="H221" s="22">
        <f t="shared" si="16"/>
        <v>0.63386333922971971</v>
      </c>
      <c r="I221" s="10"/>
    </row>
    <row r="222" spans="2:9" x14ac:dyDescent="0.25">
      <c r="B222" s="10"/>
      <c r="C222" s="10"/>
      <c r="D222" s="18">
        <v>205</v>
      </c>
      <c r="E222" s="21">
        <f t="shared" si="13"/>
        <v>21779378497</v>
      </c>
      <c r="F222" s="21">
        <f t="shared" si="14"/>
        <v>11216379925956</v>
      </c>
      <c r="G222" s="21">
        <f t="shared" si="15"/>
        <v>15105217988</v>
      </c>
      <c r="H222" s="22">
        <f t="shared" si="16"/>
        <v>0.4396197033347562</v>
      </c>
      <c r="I222" s="10"/>
    </row>
    <row r="223" spans="2:9" x14ac:dyDescent="0.25">
      <c r="B223" s="10"/>
      <c r="C223" s="10"/>
      <c r="D223" s="18">
        <v>206</v>
      </c>
      <c r="E223" s="21">
        <f t="shared" si="13"/>
        <v>15105217988</v>
      </c>
      <c r="F223" s="21">
        <f t="shared" si="14"/>
        <v>7779187263821</v>
      </c>
      <c r="G223" s="21">
        <f t="shared" si="15"/>
        <v>13886392653</v>
      </c>
      <c r="H223" s="22">
        <f t="shared" si="16"/>
        <v>0.40414721742854454</v>
      </c>
      <c r="I223" s="10"/>
    </row>
    <row r="224" spans="2:9" x14ac:dyDescent="0.25">
      <c r="B224" s="10"/>
      <c r="C224" s="10"/>
      <c r="D224" s="18">
        <v>207</v>
      </c>
      <c r="E224" s="21">
        <f t="shared" si="13"/>
        <v>13886392653</v>
      </c>
      <c r="F224" s="21">
        <f t="shared" si="14"/>
        <v>7151492216296</v>
      </c>
      <c r="G224" s="21">
        <f t="shared" si="15"/>
        <v>4666635752</v>
      </c>
      <c r="H224" s="22">
        <f t="shared" si="16"/>
        <v>0.13581697572953999</v>
      </c>
      <c r="I224" s="10"/>
    </row>
    <row r="225" spans="2:9" x14ac:dyDescent="0.25">
      <c r="B225" s="10"/>
      <c r="C225" s="10"/>
      <c r="D225" s="18">
        <v>208</v>
      </c>
      <c r="E225" s="21">
        <f t="shared" si="13"/>
        <v>4666635752</v>
      </c>
      <c r="F225" s="21">
        <f t="shared" si="14"/>
        <v>2403317412281</v>
      </c>
      <c r="G225" s="21">
        <f t="shared" si="15"/>
        <v>32495464889</v>
      </c>
      <c r="H225" s="22">
        <f t="shared" si="16"/>
        <v>0.9457425007421989</v>
      </c>
      <c r="I225" s="10"/>
    </row>
    <row r="226" spans="2:9" x14ac:dyDescent="0.25">
      <c r="B226" s="10"/>
      <c r="C226" s="10"/>
      <c r="D226" s="18">
        <v>209</v>
      </c>
      <c r="E226" s="21">
        <f t="shared" si="13"/>
        <v>32495464889</v>
      </c>
      <c r="F226" s="21">
        <f t="shared" si="14"/>
        <v>16735164417836</v>
      </c>
      <c r="G226" s="21">
        <f t="shared" si="15"/>
        <v>1971832620</v>
      </c>
      <c r="H226" s="22">
        <f t="shared" si="16"/>
        <v>5.7387882261537015E-2</v>
      </c>
      <c r="I226" s="10"/>
    </row>
    <row r="227" spans="2:9" x14ac:dyDescent="0.25">
      <c r="B227" s="10"/>
      <c r="C227" s="10"/>
      <c r="D227" s="18">
        <v>210</v>
      </c>
      <c r="E227" s="21">
        <f t="shared" si="13"/>
        <v>1971832620</v>
      </c>
      <c r="F227" s="21">
        <f t="shared" si="14"/>
        <v>1015493799301</v>
      </c>
      <c r="G227" s="21">
        <f t="shared" si="15"/>
        <v>19061386629</v>
      </c>
      <c r="H227" s="22">
        <f t="shared" si="16"/>
        <v>0.55475936472066678</v>
      </c>
      <c r="I227" s="10"/>
    </row>
    <row r="228" spans="2:9" x14ac:dyDescent="0.25">
      <c r="B228" s="10"/>
      <c r="C228" s="10"/>
      <c r="D228" s="18">
        <v>211</v>
      </c>
      <c r="E228" s="21">
        <f t="shared" si="13"/>
        <v>19061386629</v>
      </c>
      <c r="F228" s="21">
        <f t="shared" si="14"/>
        <v>9816614113936</v>
      </c>
      <c r="G228" s="21">
        <f t="shared" si="15"/>
        <v>24088679056</v>
      </c>
      <c r="H228" s="22">
        <f t="shared" si="16"/>
        <v>0.70107283117249608</v>
      </c>
      <c r="I228" s="10"/>
    </row>
    <row r="229" spans="2:9" x14ac:dyDescent="0.25">
      <c r="B229" s="10"/>
      <c r="C229" s="10"/>
      <c r="D229" s="18">
        <v>212</v>
      </c>
      <c r="E229" s="21">
        <f t="shared" si="13"/>
        <v>24088679056</v>
      </c>
      <c r="F229" s="21">
        <f t="shared" si="14"/>
        <v>12405669713841</v>
      </c>
      <c r="G229" s="21">
        <f t="shared" si="15"/>
        <v>1804162993</v>
      </c>
      <c r="H229" s="22">
        <f t="shared" si="16"/>
        <v>5.2508053864585236E-2</v>
      </c>
      <c r="I229" s="10"/>
    </row>
    <row r="230" spans="2:9" x14ac:dyDescent="0.25">
      <c r="B230" s="10"/>
      <c r="C230" s="10"/>
      <c r="D230" s="18">
        <v>213</v>
      </c>
      <c r="E230" s="21">
        <f t="shared" si="13"/>
        <v>1804162993</v>
      </c>
      <c r="F230" s="21">
        <f t="shared" si="14"/>
        <v>929143941396</v>
      </c>
      <c r="G230" s="21">
        <f t="shared" si="15"/>
        <v>1431005460</v>
      </c>
      <c r="H230" s="22">
        <f t="shared" si="16"/>
        <v>4.1647740290500224E-2</v>
      </c>
      <c r="I230" s="10"/>
    </row>
    <row r="231" spans="2:9" x14ac:dyDescent="0.25">
      <c r="B231" s="10"/>
      <c r="C231" s="10"/>
      <c r="D231" s="18">
        <v>214</v>
      </c>
      <c r="E231" s="21">
        <f t="shared" si="13"/>
        <v>1431005460</v>
      </c>
      <c r="F231" s="21">
        <f t="shared" si="14"/>
        <v>736967811901</v>
      </c>
      <c r="G231" s="21">
        <f t="shared" si="15"/>
        <v>15413306173</v>
      </c>
      <c r="H231" s="22">
        <f t="shared" si="16"/>
        <v>0.448586249636719</v>
      </c>
      <c r="I231" s="10"/>
    </row>
    <row r="232" spans="2:9" x14ac:dyDescent="0.25">
      <c r="B232" s="10"/>
      <c r="C232" s="10"/>
      <c r="D232" s="18">
        <v>215</v>
      </c>
      <c r="E232" s="21">
        <f t="shared" si="13"/>
        <v>15413306173</v>
      </c>
      <c r="F232" s="21">
        <f t="shared" si="14"/>
        <v>7937852679096</v>
      </c>
      <c r="G232" s="21">
        <f t="shared" si="15"/>
        <v>753116088</v>
      </c>
      <c r="H232" s="22">
        <f t="shared" si="16"/>
        <v>2.191856293939054E-2</v>
      </c>
      <c r="I232" s="10"/>
    </row>
    <row r="233" spans="2:9" x14ac:dyDescent="0.25">
      <c r="B233" s="10"/>
      <c r="C233" s="10"/>
      <c r="D233" s="18">
        <v>216</v>
      </c>
      <c r="E233" s="21">
        <f t="shared" si="13"/>
        <v>753116088</v>
      </c>
      <c r="F233" s="21">
        <f t="shared" si="14"/>
        <v>387854785321</v>
      </c>
      <c r="G233" s="21">
        <f t="shared" si="15"/>
        <v>9897663273</v>
      </c>
      <c r="H233" s="22">
        <f t="shared" si="16"/>
        <v>0.28805991381523199</v>
      </c>
      <c r="I233" s="10"/>
    </row>
    <row r="234" spans="2:9" x14ac:dyDescent="0.25">
      <c r="B234" s="10"/>
      <c r="C234" s="10"/>
      <c r="D234" s="18">
        <v>217</v>
      </c>
      <c r="E234" s="21">
        <f t="shared" si="13"/>
        <v>9897663273</v>
      </c>
      <c r="F234" s="21">
        <f t="shared" si="14"/>
        <v>5097296585596</v>
      </c>
      <c r="G234" s="21">
        <f t="shared" si="15"/>
        <v>12055307132</v>
      </c>
      <c r="H234" s="22">
        <f t="shared" si="16"/>
        <v>0.35085561487358063</v>
      </c>
      <c r="I234" s="10"/>
    </row>
    <row r="235" spans="2:9" x14ac:dyDescent="0.25">
      <c r="B235" s="10"/>
      <c r="C235" s="10"/>
      <c r="D235" s="18">
        <v>218</v>
      </c>
      <c r="E235" s="21">
        <f t="shared" si="13"/>
        <v>12055307132</v>
      </c>
      <c r="F235" s="21">
        <f t="shared" si="14"/>
        <v>6208483172981</v>
      </c>
      <c r="G235" s="21">
        <f t="shared" si="15"/>
        <v>23730266741</v>
      </c>
      <c r="H235" s="22">
        <f t="shared" si="16"/>
        <v>0.69064165992313065</v>
      </c>
      <c r="I235" s="10"/>
    </row>
    <row r="236" spans="2:9" x14ac:dyDescent="0.25">
      <c r="B236" s="10"/>
      <c r="C236" s="10"/>
      <c r="D236" s="18">
        <v>219</v>
      </c>
      <c r="E236" s="21">
        <f t="shared" si="13"/>
        <v>23730266741</v>
      </c>
      <c r="F236" s="21">
        <f t="shared" si="14"/>
        <v>12221087371616</v>
      </c>
      <c r="G236" s="21">
        <f t="shared" si="15"/>
        <v>23380250976</v>
      </c>
      <c r="H236" s="22">
        <f t="shared" si="16"/>
        <v>0.6804548604413867</v>
      </c>
      <c r="I236" s="10"/>
    </row>
    <row r="237" spans="2:9" x14ac:dyDescent="0.25">
      <c r="B237" s="10"/>
      <c r="C237" s="10"/>
      <c r="D237" s="18">
        <v>220</v>
      </c>
      <c r="E237" s="21">
        <f t="shared" si="13"/>
        <v>23380250976</v>
      </c>
      <c r="F237" s="21">
        <f t="shared" si="14"/>
        <v>12040829252641</v>
      </c>
      <c r="G237" s="21">
        <f t="shared" si="15"/>
        <v>14920823841</v>
      </c>
      <c r="H237" s="22">
        <f t="shared" si="16"/>
        <v>0.43425312734325416</v>
      </c>
      <c r="I237" s="10"/>
    </row>
    <row r="238" spans="2:9" x14ac:dyDescent="0.25">
      <c r="B238" s="10"/>
      <c r="C238" s="10"/>
      <c r="D238" s="18">
        <v>221</v>
      </c>
      <c r="E238" s="21">
        <f t="shared" si="13"/>
        <v>14920823841</v>
      </c>
      <c r="F238" s="21">
        <f t="shared" si="14"/>
        <v>7684224278116</v>
      </c>
      <c r="G238" s="21">
        <f t="shared" si="15"/>
        <v>22002622052</v>
      </c>
      <c r="H238" s="22">
        <f t="shared" si="16"/>
        <v>0.64036058180499822</v>
      </c>
      <c r="I238" s="10"/>
    </row>
    <row r="239" spans="2:9" x14ac:dyDescent="0.25">
      <c r="B239" s="10"/>
      <c r="C239" s="10"/>
      <c r="D239" s="18">
        <v>222</v>
      </c>
      <c r="E239" s="21">
        <f t="shared" si="13"/>
        <v>22002622052</v>
      </c>
      <c r="F239" s="21">
        <f t="shared" si="14"/>
        <v>11331350356781</v>
      </c>
      <c r="G239" s="21">
        <f t="shared" si="15"/>
        <v>26996433709</v>
      </c>
      <c r="H239" s="22">
        <f t="shared" si="16"/>
        <v>0.78569962960318662</v>
      </c>
      <c r="I239" s="10"/>
    </row>
    <row r="240" spans="2:9" x14ac:dyDescent="0.25">
      <c r="B240" s="10"/>
      <c r="C240" s="10"/>
      <c r="D240" s="18">
        <v>223</v>
      </c>
      <c r="E240" s="21">
        <f t="shared" si="13"/>
        <v>26996433709</v>
      </c>
      <c r="F240" s="21">
        <f t="shared" si="14"/>
        <v>13903163360136</v>
      </c>
      <c r="G240" s="21">
        <f t="shared" si="15"/>
        <v>21829059464</v>
      </c>
      <c r="H240" s="22">
        <f t="shared" si="16"/>
        <v>0.6353092456702143</v>
      </c>
      <c r="I240" s="10"/>
    </row>
    <row r="241" spans="2:9" x14ac:dyDescent="0.25">
      <c r="B241" s="10"/>
      <c r="C241" s="10"/>
      <c r="D241" s="18">
        <v>224</v>
      </c>
      <c r="E241" s="21">
        <f t="shared" si="13"/>
        <v>21829059464</v>
      </c>
      <c r="F241" s="21">
        <f t="shared" si="14"/>
        <v>11241965623961</v>
      </c>
      <c r="G241" s="21">
        <f t="shared" si="15"/>
        <v>6331177625</v>
      </c>
      <c r="H241" s="22">
        <f t="shared" si="16"/>
        <v>0.18426152018946595</v>
      </c>
      <c r="I241" s="10"/>
    </row>
    <row r="242" spans="2:9" x14ac:dyDescent="0.25">
      <c r="B242" s="10"/>
      <c r="C242" s="10"/>
      <c r="D242" s="18">
        <v>225</v>
      </c>
      <c r="E242" s="21">
        <f t="shared" si="13"/>
        <v>6331177625</v>
      </c>
      <c r="F242" s="21">
        <f t="shared" si="14"/>
        <v>3260556476876</v>
      </c>
      <c r="G242" s="21">
        <f t="shared" si="15"/>
        <v>30741070284</v>
      </c>
      <c r="H242" s="22">
        <f t="shared" si="16"/>
        <v>0.8946828976040706</v>
      </c>
      <c r="I242" s="10"/>
    </row>
    <row r="243" spans="2:9" x14ac:dyDescent="0.25">
      <c r="B243" s="10"/>
      <c r="C243" s="10"/>
      <c r="D243" s="18">
        <v>226</v>
      </c>
      <c r="E243" s="21">
        <f t="shared" si="13"/>
        <v>30741070284</v>
      </c>
      <c r="F243" s="21">
        <f t="shared" si="14"/>
        <v>15831651196261</v>
      </c>
      <c r="G243" s="21">
        <f t="shared" si="15"/>
        <v>26171546981</v>
      </c>
      <c r="H243" s="22">
        <f t="shared" si="16"/>
        <v>0.76169226612546481</v>
      </c>
      <c r="I243" s="10"/>
    </row>
    <row r="244" spans="2:9" x14ac:dyDescent="0.25">
      <c r="B244" s="10"/>
      <c r="C244" s="10"/>
      <c r="D244" s="18">
        <v>227</v>
      </c>
      <c r="E244" s="21">
        <f t="shared" si="13"/>
        <v>26171546981</v>
      </c>
      <c r="F244" s="21">
        <f t="shared" si="14"/>
        <v>13478346695216</v>
      </c>
      <c r="G244" s="21">
        <f t="shared" si="15"/>
        <v>9329254960</v>
      </c>
      <c r="H244" s="22">
        <f t="shared" si="16"/>
        <v>0.27151705464348197</v>
      </c>
      <c r="I244" s="10"/>
    </row>
    <row r="245" spans="2:9" x14ac:dyDescent="0.25">
      <c r="B245" s="10"/>
      <c r="C245" s="10"/>
      <c r="D245" s="18">
        <v>228</v>
      </c>
      <c r="E245" s="21">
        <f t="shared" si="13"/>
        <v>9329254960</v>
      </c>
      <c r="F245" s="21">
        <f t="shared" si="14"/>
        <v>4804566304401</v>
      </c>
      <c r="G245" s="21">
        <f t="shared" si="15"/>
        <v>28562671249</v>
      </c>
      <c r="H245" s="22">
        <f t="shared" si="16"/>
        <v>0.83128314142231829</v>
      </c>
      <c r="I245" s="10"/>
    </row>
    <row r="246" spans="2:9" x14ac:dyDescent="0.25">
      <c r="B246" s="10"/>
      <c r="C246" s="10"/>
      <c r="D246" s="18">
        <v>229</v>
      </c>
      <c r="E246" s="21">
        <f t="shared" ref="E246:E309" si="17">G245</f>
        <v>28562671249</v>
      </c>
      <c r="F246" s="21">
        <f t="shared" si="14"/>
        <v>14709775693236</v>
      </c>
      <c r="G246" s="21">
        <f t="shared" si="15"/>
        <v>3807671732</v>
      </c>
      <c r="H246" s="22">
        <f t="shared" si="16"/>
        <v>0.11081783252302557</v>
      </c>
      <c r="I246" s="10"/>
    </row>
    <row r="247" spans="2:9" x14ac:dyDescent="0.25">
      <c r="B247" s="10"/>
      <c r="C247" s="10"/>
      <c r="D247" s="18">
        <v>230</v>
      </c>
      <c r="E247" s="21">
        <f t="shared" si="17"/>
        <v>3807671732</v>
      </c>
      <c r="F247" s="21">
        <f t="shared" si="14"/>
        <v>1960950941981</v>
      </c>
      <c r="G247" s="21">
        <f t="shared" si="15"/>
        <v>2445855005</v>
      </c>
      <c r="H247" s="22">
        <f t="shared" si="16"/>
        <v>7.1183749387273565E-2</v>
      </c>
      <c r="I247" s="10"/>
    </row>
    <row r="248" spans="2:9" x14ac:dyDescent="0.25">
      <c r="B248" s="10"/>
      <c r="C248" s="10"/>
      <c r="D248" s="18">
        <v>231</v>
      </c>
      <c r="E248" s="21">
        <f t="shared" si="17"/>
        <v>2445855005</v>
      </c>
      <c r="F248" s="21">
        <f t="shared" si="14"/>
        <v>1259615327576</v>
      </c>
      <c r="G248" s="21">
        <f t="shared" si="15"/>
        <v>22664746328</v>
      </c>
      <c r="H248" s="22">
        <f t="shared" si="16"/>
        <v>0.65963093447498977</v>
      </c>
      <c r="I248" s="10"/>
    </row>
    <row r="249" spans="2:9" x14ac:dyDescent="0.25">
      <c r="B249" s="10"/>
      <c r="C249" s="10"/>
      <c r="D249" s="18">
        <v>232</v>
      </c>
      <c r="E249" s="21">
        <f t="shared" si="17"/>
        <v>22664746328</v>
      </c>
      <c r="F249" s="21">
        <f t="shared" si="14"/>
        <v>11672344358921</v>
      </c>
      <c r="G249" s="21">
        <f t="shared" si="15"/>
        <v>24393052169</v>
      </c>
      <c r="H249" s="22">
        <f t="shared" si="16"/>
        <v>0.70993125464883633</v>
      </c>
      <c r="I249" s="10"/>
    </row>
    <row r="250" spans="2:9" x14ac:dyDescent="0.25">
      <c r="B250" s="10"/>
      <c r="C250" s="10"/>
      <c r="D250" s="18">
        <v>233</v>
      </c>
      <c r="E250" s="21">
        <f t="shared" si="17"/>
        <v>24393052169</v>
      </c>
      <c r="F250" s="21">
        <f t="shared" si="14"/>
        <v>12562421867036</v>
      </c>
      <c r="G250" s="21">
        <f t="shared" si="15"/>
        <v>21117362716</v>
      </c>
      <c r="H250" s="22">
        <f t="shared" si="16"/>
        <v>0.61459614417981356</v>
      </c>
      <c r="I250" s="10"/>
    </row>
    <row r="251" spans="2:9" x14ac:dyDescent="0.25">
      <c r="B251" s="10"/>
      <c r="C251" s="10"/>
      <c r="D251" s="18">
        <v>234</v>
      </c>
      <c r="E251" s="21">
        <f t="shared" si="17"/>
        <v>21117362716</v>
      </c>
      <c r="F251" s="21">
        <f t="shared" si="14"/>
        <v>10875441798741</v>
      </c>
      <c r="G251" s="21">
        <f t="shared" si="15"/>
        <v>17764474453</v>
      </c>
      <c r="H251" s="22">
        <f t="shared" si="16"/>
        <v>0.5170142526330892</v>
      </c>
      <c r="I251" s="10"/>
    </row>
    <row r="252" spans="2:9" x14ac:dyDescent="0.25">
      <c r="B252" s="10"/>
      <c r="C252" s="10"/>
      <c r="D252" s="18">
        <v>235</v>
      </c>
      <c r="E252" s="21">
        <f t="shared" si="17"/>
        <v>17764474453</v>
      </c>
      <c r="F252" s="21">
        <f t="shared" si="14"/>
        <v>9148704343296</v>
      </c>
      <c r="G252" s="21">
        <f t="shared" si="15"/>
        <v>9013937408</v>
      </c>
      <c r="H252" s="22">
        <f t="shared" si="16"/>
        <v>0.26234010607004166</v>
      </c>
      <c r="I252" s="10"/>
    </row>
    <row r="253" spans="2:9" x14ac:dyDescent="0.25">
      <c r="B253" s="10"/>
      <c r="C253" s="10"/>
      <c r="D253" s="18">
        <v>236</v>
      </c>
      <c r="E253" s="21">
        <f t="shared" si="17"/>
        <v>9013937408</v>
      </c>
      <c r="F253" s="21">
        <f t="shared" si="14"/>
        <v>4642177765121</v>
      </c>
      <c r="G253" s="21">
        <f t="shared" si="15"/>
        <v>3613085441</v>
      </c>
      <c r="H253" s="22">
        <f t="shared" si="16"/>
        <v>0.10515462610055692</v>
      </c>
      <c r="I253" s="10"/>
    </row>
    <row r="254" spans="2:9" x14ac:dyDescent="0.25">
      <c r="B254" s="10"/>
      <c r="C254" s="10"/>
      <c r="D254" s="18">
        <v>237</v>
      </c>
      <c r="E254" s="21">
        <f t="shared" si="17"/>
        <v>3613085441</v>
      </c>
      <c r="F254" s="21">
        <f t="shared" si="14"/>
        <v>1860739002116</v>
      </c>
      <c r="G254" s="21">
        <f t="shared" si="15"/>
        <v>5313130244</v>
      </c>
      <c r="H254" s="22">
        <f t="shared" si="16"/>
        <v>0.15463244181592017</v>
      </c>
      <c r="I254" s="10"/>
    </row>
    <row r="255" spans="2:9" x14ac:dyDescent="0.25">
      <c r="B255" s="10"/>
      <c r="C255" s="10"/>
      <c r="D255" s="18">
        <v>238</v>
      </c>
      <c r="E255" s="21">
        <f t="shared" si="17"/>
        <v>5313130244</v>
      </c>
      <c r="F255" s="21">
        <f t="shared" si="14"/>
        <v>2736262075661</v>
      </c>
      <c r="G255" s="21">
        <f t="shared" si="15"/>
        <v>21842744589</v>
      </c>
      <c r="H255" s="22">
        <f t="shared" si="16"/>
        <v>0.6357075352279935</v>
      </c>
      <c r="I255" s="10"/>
    </row>
    <row r="256" spans="2:9" x14ac:dyDescent="0.25">
      <c r="B256" s="10"/>
      <c r="C256" s="10"/>
      <c r="D256" s="18">
        <v>239</v>
      </c>
      <c r="E256" s="21">
        <f t="shared" si="17"/>
        <v>21842744589</v>
      </c>
      <c r="F256" s="21">
        <f t="shared" si="14"/>
        <v>11249013463336</v>
      </c>
      <c r="G256" s="21">
        <f t="shared" si="15"/>
        <v>13379017000</v>
      </c>
      <c r="H256" s="22">
        <f t="shared" si="16"/>
        <v>0.38938064244575799</v>
      </c>
      <c r="I256" s="10"/>
    </row>
    <row r="257" spans="2:9" x14ac:dyDescent="0.25">
      <c r="B257" s="10"/>
      <c r="C257" s="10"/>
      <c r="D257" s="18">
        <v>240</v>
      </c>
      <c r="E257" s="21">
        <f t="shared" si="17"/>
        <v>13379017000</v>
      </c>
      <c r="F257" s="21">
        <f t="shared" si="14"/>
        <v>6890193755001</v>
      </c>
      <c r="G257" s="21">
        <f t="shared" si="15"/>
        <v>18246081401</v>
      </c>
      <c r="H257" s="22">
        <f t="shared" si="16"/>
        <v>0.53103085959446616</v>
      </c>
      <c r="I257" s="10"/>
    </row>
    <row r="258" spans="2:9" x14ac:dyDescent="0.25">
      <c r="B258" s="10"/>
      <c r="C258" s="10"/>
      <c r="D258" s="18">
        <v>241</v>
      </c>
      <c r="E258" s="21">
        <f t="shared" si="17"/>
        <v>18246081401</v>
      </c>
      <c r="F258" s="21">
        <f t="shared" si="14"/>
        <v>9396731921516</v>
      </c>
      <c r="G258" s="21">
        <f t="shared" si="15"/>
        <v>16523347052</v>
      </c>
      <c r="H258" s="22">
        <f t="shared" si="16"/>
        <v>0.48089269117917866</v>
      </c>
      <c r="I258" s="10"/>
    </row>
    <row r="259" spans="2:9" x14ac:dyDescent="0.25">
      <c r="B259" s="10"/>
      <c r="C259" s="10"/>
      <c r="D259" s="18">
        <v>242</v>
      </c>
      <c r="E259" s="21">
        <f t="shared" si="17"/>
        <v>16523347052</v>
      </c>
      <c r="F259" s="21">
        <f t="shared" si="14"/>
        <v>8509523731781</v>
      </c>
      <c r="G259" s="21">
        <f t="shared" si="15"/>
        <v>22668354885</v>
      </c>
      <c r="H259" s="22">
        <f t="shared" si="16"/>
        <v>0.65973595730611123</v>
      </c>
      <c r="I259" s="10"/>
    </row>
    <row r="260" spans="2:9" x14ac:dyDescent="0.25">
      <c r="B260" s="10"/>
      <c r="C260" s="10"/>
      <c r="D260" s="18">
        <v>243</v>
      </c>
      <c r="E260" s="21">
        <f t="shared" si="17"/>
        <v>22668354885</v>
      </c>
      <c r="F260" s="21">
        <f t="shared" si="14"/>
        <v>11674202765776</v>
      </c>
      <c r="G260" s="21">
        <f t="shared" si="15"/>
        <v>26251459024</v>
      </c>
      <c r="H260" s="22">
        <f t="shared" si="16"/>
        <v>0.76401801267638803</v>
      </c>
      <c r="I260" s="10"/>
    </row>
    <row r="261" spans="2:9" x14ac:dyDescent="0.25">
      <c r="B261" s="10"/>
      <c r="C261" s="10"/>
      <c r="D261" s="18">
        <v>244</v>
      </c>
      <c r="E261" s="21">
        <f t="shared" si="17"/>
        <v>26251459024</v>
      </c>
      <c r="F261" s="21">
        <f t="shared" si="14"/>
        <v>13519501397361</v>
      </c>
      <c r="G261" s="21">
        <f t="shared" si="15"/>
        <v>16124218737</v>
      </c>
      <c r="H261" s="22">
        <f t="shared" si="16"/>
        <v>0.46927652836893685</v>
      </c>
      <c r="I261" s="10"/>
    </row>
    <row r="262" spans="2:9" x14ac:dyDescent="0.25">
      <c r="B262" s="10"/>
      <c r="C262" s="10"/>
      <c r="D262" s="18">
        <v>245</v>
      </c>
      <c r="E262" s="21">
        <f t="shared" si="17"/>
        <v>16124218737</v>
      </c>
      <c r="F262" s="21">
        <f t="shared" si="14"/>
        <v>8303972649556</v>
      </c>
      <c r="G262" s="21">
        <f t="shared" si="15"/>
        <v>23275702868</v>
      </c>
      <c r="H262" s="22">
        <f t="shared" si="16"/>
        <v>0.67741211003158242</v>
      </c>
      <c r="I262" s="10"/>
    </row>
    <row r="263" spans="2:9" x14ac:dyDescent="0.25">
      <c r="B263" s="10"/>
      <c r="C263" s="10"/>
      <c r="D263" s="18">
        <v>246</v>
      </c>
      <c r="E263" s="21">
        <f t="shared" si="17"/>
        <v>23275702868</v>
      </c>
      <c r="F263" s="21">
        <f t="shared" si="14"/>
        <v>11986986977021</v>
      </c>
      <c r="G263" s="21">
        <f t="shared" si="15"/>
        <v>29798024957</v>
      </c>
      <c r="H263" s="22">
        <f t="shared" si="16"/>
        <v>0.86723666629404761</v>
      </c>
      <c r="I263" s="10"/>
    </row>
    <row r="264" spans="2:9" x14ac:dyDescent="0.25">
      <c r="B264" s="10"/>
      <c r="C264" s="10"/>
      <c r="D264" s="18">
        <v>247</v>
      </c>
      <c r="E264" s="21">
        <f t="shared" si="17"/>
        <v>29798024957</v>
      </c>
      <c r="F264" s="21">
        <f t="shared" si="14"/>
        <v>15345982852856</v>
      </c>
      <c r="G264" s="21">
        <f t="shared" si="15"/>
        <v>21539540728</v>
      </c>
      <c r="H264" s="22">
        <f t="shared" si="16"/>
        <v>0.62688314146362245</v>
      </c>
      <c r="I264" s="10"/>
    </row>
    <row r="265" spans="2:9" x14ac:dyDescent="0.25">
      <c r="B265" s="10"/>
      <c r="C265" s="10"/>
      <c r="D265" s="18">
        <v>248</v>
      </c>
      <c r="E265" s="21">
        <f t="shared" si="17"/>
        <v>21539540728</v>
      </c>
      <c r="F265" s="21">
        <f t="shared" si="14"/>
        <v>11092863474921</v>
      </c>
      <c r="G265" s="21">
        <f t="shared" si="15"/>
        <v>29027720425</v>
      </c>
      <c r="H265" s="22">
        <f t="shared" si="16"/>
        <v>0.84481785379466601</v>
      </c>
      <c r="I265" s="10"/>
    </row>
    <row r="266" spans="2:9" x14ac:dyDescent="0.25">
      <c r="B266" s="10"/>
      <c r="C266" s="10"/>
      <c r="D266" s="18">
        <v>249</v>
      </c>
      <c r="E266" s="21">
        <f t="shared" si="17"/>
        <v>29027720425</v>
      </c>
      <c r="F266" s="21">
        <f t="shared" si="14"/>
        <v>14949276018876</v>
      </c>
      <c r="G266" s="21">
        <f t="shared" si="15"/>
        <v>2789828796</v>
      </c>
      <c r="H266" s="22">
        <f t="shared" si="16"/>
        <v>8.1194704282097518E-2</v>
      </c>
      <c r="I266" s="10"/>
    </row>
    <row r="267" spans="2:9" x14ac:dyDescent="0.25">
      <c r="B267" s="10"/>
      <c r="C267" s="10"/>
      <c r="D267" s="18">
        <v>250</v>
      </c>
      <c r="E267" s="21">
        <f t="shared" si="17"/>
        <v>2789828796</v>
      </c>
      <c r="F267" s="21">
        <f t="shared" si="14"/>
        <v>1436761829941</v>
      </c>
      <c r="G267" s="21">
        <f t="shared" si="15"/>
        <v>28012556853</v>
      </c>
      <c r="H267" s="22">
        <f t="shared" si="16"/>
        <v>0.81527270530932583</v>
      </c>
      <c r="I267" s="10"/>
    </row>
    <row r="268" spans="2:9" x14ac:dyDescent="0.25">
      <c r="B268" s="10"/>
      <c r="C268" s="10"/>
      <c r="D268" s="18">
        <v>251</v>
      </c>
      <c r="E268" s="21">
        <f t="shared" si="17"/>
        <v>28012556853</v>
      </c>
      <c r="F268" s="21">
        <f t="shared" si="14"/>
        <v>14426466779296</v>
      </c>
      <c r="G268" s="21">
        <f t="shared" si="15"/>
        <v>29736403104</v>
      </c>
      <c r="H268" s="22">
        <f t="shared" si="16"/>
        <v>0.86544323433190584</v>
      </c>
      <c r="I268" s="10"/>
    </row>
    <row r="269" spans="2:9" x14ac:dyDescent="0.25">
      <c r="B269" s="10"/>
      <c r="C269" s="10"/>
      <c r="D269" s="18">
        <v>252</v>
      </c>
      <c r="E269" s="21">
        <f t="shared" si="17"/>
        <v>29736403104</v>
      </c>
      <c r="F269" s="21">
        <f t="shared" si="14"/>
        <v>15314247598561</v>
      </c>
      <c r="G269" s="21">
        <f t="shared" si="15"/>
        <v>24164024801</v>
      </c>
      <c r="H269" s="22">
        <f t="shared" si="16"/>
        <v>0.70326568096061237</v>
      </c>
      <c r="I269" s="10"/>
    </row>
    <row r="270" spans="2:9" x14ac:dyDescent="0.25">
      <c r="B270" s="10"/>
      <c r="C270" s="10"/>
      <c r="D270" s="18">
        <v>253</v>
      </c>
      <c r="E270" s="21">
        <f t="shared" si="17"/>
        <v>24164024801</v>
      </c>
      <c r="F270" s="21">
        <f t="shared" si="14"/>
        <v>12444472772516</v>
      </c>
      <c r="G270" s="21">
        <f t="shared" si="15"/>
        <v>6247483300</v>
      </c>
      <c r="H270" s="22">
        <f t="shared" si="16"/>
        <v>0.18182569474447519</v>
      </c>
      <c r="I270" s="10"/>
    </row>
    <row r="271" spans="2:9" x14ac:dyDescent="0.25">
      <c r="B271" s="10"/>
      <c r="C271" s="10"/>
      <c r="D271" s="18">
        <v>254</v>
      </c>
      <c r="E271" s="21">
        <f t="shared" si="17"/>
        <v>6247483300</v>
      </c>
      <c r="F271" s="21">
        <f t="shared" si="14"/>
        <v>3217453899501</v>
      </c>
      <c r="G271" s="21">
        <f t="shared" si="15"/>
        <v>21998231277</v>
      </c>
      <c r="H271" s="22">
        <f t="shared" si="16"/>
        <v>0.64023279343382455</v>
      </c>
      <c r="I271" s="10"/>
    </row>
    <row r="272" spans="2:9" x14ac:dyDescent="0.25">
      <c r="B272" s="10"/>
      <c r="C272" s="10"/>
      <c r="D272" s="18">
        <v>255</v>
      </c>
      <c r="E272" s="21">
        <f t="shared" si="17"/>
        <v>21998231277</v>
      </c>
      <c r="F272" s="21">
        <f t="shared" si="14"/>
        <v>11329089107656</v>
      </c>
      <c r="G272" s="21">
        <f t="shared" si="15"/>
        <v>24735184584</v>
      </c>
      <c r="H272" s="22">
        <f t="shared" si="16"/>
        <v>0.71988861844874918</v>
      </c>
      <c r="I272" s="10"/>
    </row>
    <row r="273" spans="2:9" x14ac:dyDescent="0.25">
      <c r="B273" s="10"/>
      <c r="C273" s="10"/>
      <c r="D273" s="18">
        <v>256</v>
      </c>
      <c r="E273" s="21">
        <f t="shared" si="17"/>
        <v>24735184584</v>
      </c>
      <c r="F273" s="21">
        <f t="shared" si="14"/>
        <v>12738620060761</v>
      </c>
      <c r="G273" s="21">
        <f t="shared" si="15"/>
        <v>25516864601</v>
      </c>
      <c r="H273" s="22">
        <f t="shared" si="16"/>
        <v>0.7426385011349339</v>
      </c>
      <c r="I273" s="10"/>
    </row>
    <row r="274" spans="2:9" x14ac:dyDescent="0.25">
      <c r="B274" s="10"/>
      <c r="C274" s="10"/>
      <c r="D274" s="18">
        <v>257</v>
      </c>
      <c r="E274" s="21">
        <f t="shared" si="17"/>
        <v>25516864601</v>
      </c>
      <c r="F274" s="21">
        <f t="shared" si="14"/>
        <v>13141185269516</v>
      </c>
      <c r="G274" s="21">
        <f t="shared" si="15"/>
        <v>15765212940</v>
      </c>
      <c r="H274" s="22">
        <f t="shared" si="16"/>
        <v>0.45882808452006429</v>
      </c>
      <c r="I274" s="10"/>
    </row>
    <row r="275" spans="2:9" x14ac:dyDescent="0.25">
      <c r="B275" s="10"/>
      <c r="C275" s="10"/>
      <c r="D275" s="18">
        <v>258</v>
      </c>
      <c r="E275" s="21">
        <f t="shared" si="17"/>
        <v>15765212940</v>
      </c>
      <c r="F275" s="21">
        <f t="shared" ref="F275:F338" si="18">E$7 * E275 + H$7</f>
        <v>8119084664101</v>
      </c>
      <c r="G275" s="21">
        <f t="shared" ref="G275:G338" si="19">MOD(F275,F$7)</f>
        <v>10186409253</v>
      </c>
      <c r="H275" s="22">
        <f t="shared" ref="H275:H338" si="20">G275/F$7</f>
        <v>0.29646352786221541</v>
      </c>
      <c r="I275" s="10"/>
    </row>
    <row r="276" spans="2:9" x14ac:dyDescent="0.25">
      <c r="B276" s="10"/>
      <c r="C276" s="10"/>
      <c r="D276" s="18">
        <v>259</v>
      </c>
      <c r="E276" s="21">
        <f t="shared" si="17"/>
        <v>10186409253</v>
      </c>
      <c r="F276" s="21">
        <f t="shared" si="18"/>
        <v>5246000765296</v>
      </c>
      <c r="G276" s="21">
        <f t="shared" si="19"/>
        <v>23320533360</v>
      </c>
      <c r="H276" s="22">
        <f t="shared" si="20"/>
        <v>0.67871684907004237</v>
      </c>
      <c r="I276" s="10"/>
    </row>
    <row r="277" spans="2:9" x14ac:dyDescent="0.25">
      <c r="B277" s="10"/>
      <c r="C277" s="10"/>
      <c r="D277" s="18">
        <v>260</v>
      </c>
      <c r="E277" s="21">
        <f t="shared" si="17"/>
        <v>23320533360</v>
      </c>
      <c r="F277" s="21">
        <f t="shared" si="18"/>
        <v>12010074680401</v>
      </c>
      <c r="G277" s="21">
        <f t="shared" si="19"/>
        <v>18525989969</v>
      </c>
      <c r="H277" s="22">
        <f t="shared" si="20"/>
        <v>0.53917727110092528</v>
      </c>
      <c r="I277" s="10"/>
    </row>
    <row r="278" spans="2:9" x14ac:dyDescent="0.25">
      <c r="B278" s="10"/>
      <c r="C278" s="10"/>
      <c r="D278" s="18">
        <v>261</v>
      </c>
      <c r="E278" s="21">
        <f t="shared" si="17"/>
        <v>18525989969</v>
      </c>
      <c r="F278" s="21">
        <f t="shared" si="18"/>
        <v>9540884834036</v>
      </c>
      <c r="G278" s="21">
        <f t="shared" si="19"/>
        <v>23237306100</v>
      </c>
      <c r="H278" s="22">
        <f t="shared" si="20"/>
        <v>0.67629461700562388</v>
      </c>
      <c r="I278" s="10"/>
    </row>
    <row r="279" spans="2:9" x14ac:dyDescent="0.25">
      <c r="B279" s="10"/>
      <c r="C279" s="10"/>
      <c r="D279" s="18">
        <v>262</v>
      </c>
      <c r="E279" s="21">
        <f t="shared" si="17"/>
        <v>23237306100</v>
      </c>
      <c r="F279" s="21">
        <f t="shared" si="18"/>
        <v>11967212641501</v>
      </c>
      <c r="G279" s="21">
        <f t="shared" si="19"/>
        <v>10023689437</v>
      </c>
      <c r="H279" s="22">
        <f t="shared" si="20"/>
        <v>0.29172775792540051</v>
      </c>
      <c r="I279" s="10"/>
    </row>
    <row r="280" spans="2:9" x14ac:dyDescent="0.25">
      <c r="B280" s="10"/>
      <c r="C280" s="10"/>
      <c r="D280" s="18">
        <v>263</v>
      </c>
      <c r="E280" s="21">
        <f t="shared" si="17"/>
        <v>10023689437</v>
      </c>
      <c r="F280" s="21">
        <f t="shared" si="18"/>
        <v>5162200060056</v>
      </c>
      <c r="G280" s="21">
        <f t="shared" si="19"/>
        <v>8239304856</v>
      </c>
      <c r="H280" s="22">
        <f t="shared" si="20"/>
        <v>0.2397953316103667</v>
      </c>
      <c r="I280" s="10"/>
    </row>
    <row r="281" spans="2:9" x14ac:dyDescent="0.25">
      <c r="B281" s="10"/>
      <c r="C281" s="10"/>
      <c r="D281" s="18">
        <v>264</v>
      </c>
      <c r="E281" s="21">
        <f t="shared" si="17"/>
        <v>8239304856</v>
      </c>
      <c r="F281" s="21">
        <f t="shared" si="18"/>
        <v>4243242000841</v>
      </c>
      <c r="G281" s="21">
        <f t="shared" si="19"/>
        <v>16994181577</v>
      </c>
      <c r="H281" s="22">
        <f t="shared" si="20"/>
        <v>0.4945957793679554</v>
      </c>
      <c r="I281" s="10"/>
    </row>
    <row r="282" spans="2:9" x14ac:dyDescent="0.25">
      <c r="B282" s="10"/>
      <c r="C282" s="10"/>
      <c r="D282" s="18">
        <v>265</v>
      </c>
      <c r="E282" s="21">
        <f t="shared" si="17"/>
        <v>16994181577</v>
      </c>
      <c r="F282" s="21">
        <f t="shared" si="18"/>
        <v>8752003512156</v>
      </c>
      <c r="G282" s="21">
        <f t="shared" si="19"/>
        <v>24629966684</v>
      </c>
      <c r="H282" s="22">
        <f t="shared" si="20"/>
        <v>0.71682637452613562</v>
      </c>
      <c r="I282" s="10"/>
    </row>
    <row r="283" spans="2:9" x14ac:dyDescent="0.25">
      <c r="B283" s="10"/>
      <c r="C283" s="10"/>
      <c r="D283" s="18">
        <v>266</v>
      </c>
      <c r="E283" s="21">
        <f t="shared" si="17"/>
        <v>24629966684</v>
      </c>
      <c r="F283" s="21">
        <f t="shared" si="18"/>
        <v>12684432842261</v>
      </c>
      <c r="G283" s="21">
        <f t="shared" si="19"/>
        <v>5689384469</v>
      </c>
      <c r="H283" s="22">
        <f t="shared" si="20"/>
        <v>0.16558288098894991</v>
      </c>
      <c r="I283" s="10"/>
    </row>
    <row r="284" spans="2:9" x14ac:dyDescent="0.25">
      <c r="B284" s="10"/>
      <c r="C284" s="10"/>
      <c r="D284" s="18">
        <v>267</v>
      </c>
      <c r="E284" s="21">
        <f t="shared" si="17"/>
        <v>5689384469</v>
      </c>
      <c r="F284" s="21">
        <f t="shared" si="18"/>
        <v>2930033001536</v>
      </c>
      <c r="G284" s="21">
        <f t="shared" si="19"/>
        <v>9455240256</v>
      </c>
      <c r="H284" s="22">
        <f t="shared" si="20"/>
        <v>0.27518370933830738</v>
      </c>
      <c r="I284" s="10"/>
    </row>
    <row r="285" spans="2:9" x14ac:dyDescent="0.25">
      <c r="B285" s="10"/>
      <c r="C285" s="10"/>
      <c r="D285" s="18">
        <v>268</v>
      </c>
      <c r="E285" s="21">
        <f t="shared" si="17"/>
        <v>9455240256</v>
      </c>
      <c r="F285" s="21">
        <f t="shared" si="18"/>
        <v>4869448731841</v>
      </c>
      <c r="G285" s="21">
        <f t="shared" si="19"/>
        <v>24725621953</v>
      </c>
      <c r="H285" s="22">
        <f t="shared" si="20"/>
        <v>0.71961030925740488</v>
      </c>
      <c r="I285" s="10"/>
    </row>
    <row r="286" spans="2:9" x14ac:dyDescent="0.25">
      <c r="B286" s="10"/>
      <c r="C286" s="10"/>
      <c r="D286" s="18">
        <v>269</v>
      </c>
      <c r="E286" s="21">
        <f t="shared" si="17"/>
        <v>24725621953</v>
      </c>
      <c r="F286" s="21">
        <f t="shared" si="18"/>
        <v>12733695305796</v>
      </c>
      <c r="G286" s="21">
        <f t="shared" si="19"/>
        <v>20592109636</v>
      </c>
      <c r="H286" s="22">
        <f t="shared" si="20"/>
        <v>0.59930926759261638</v>
      </c>
      <c r="I286" s="10"/>
    </row>
    <row r="287" spans="2:9" x14ac:dyDescent="0.25">
      <c r="B287" s="10"/>
      <c r="C287" s="10"/>
      <c r="D287" s="18">
        <v>270</v>
      </c>
      <c r="E287" s="21">
        <f t="shared" si="17"/>
        <v>20592109636</v>
      </c>
      <c r="F287" s="21">
        <f t="shared" si="18"/>
        <v>10604936462541</v>
      </c>
      <c r="G287" s="21">
        <f t="shared" si="19"/>
        <v>22137045197</v>
      </c>
      <c r="H287" s="22">
        <f t="shared" si="20"/>
        <v>0.64427281022653915</v>
      </c>
      <c r="I287" s="10"/>
    </row>
    <row r="288" spans="2:9" x14ac:dyDescent="0.25">
      <c r="B288" s="10"/>
      <c r="C288" s="10"/>
      <c r="D288" s="18">
        <v>271</v>
      </c>
      <c r="E288" s="21">
        <f t="shared" si="17"/>
        <v>22137045197</v>
      </c>
      <c r="F288" s="21">
        <f t="shared" si="18"/>
        <v>11400578276456</v>
      </c>
      <c r="G288" s="21">
        <f t="shared" si="19"/>
        <v>27504876648</v>
      </c>
      <c r="H288" s="22">
        <f t="shared" si="20"/>
        <v>0.80049726669676602</v>
      </c>
      <c r="I288" s="10"/>
    </row>
    <row r="289" spans="2:9" x14ac:dyDescent="0.25">
      <c r="B289" s="10"/>
      <c r="C289" s="10"/>
      <c r="D289" s="18">
        <v>272</v>
      </c>
      <c r="E289" s="21">
        <f t="shared" si="17"/>
        <v>27504876648</v>
      </c>
      <c r="F289" s="21">
        <f t="shared" si="18"/>
        <v>14165011473721</v>
      </c>
      <c r="G289" s="21">
        <f t="shared" si="19"/>
        <v>8799266105</v>
      </c>
      <c r="H289" s="22">
        <f t="shared" si="20"/>
        <v>0.25609234886360355</v>
      </c>
      <c r="I289" s="10"/>
    </row>
    <row r="290" spans="2:9" x14ac:dyDescent="0.25">
      <c r="B290" s="10"/>
      <c r="C290" s="10"/>
      <c r="D290" s="18">
        <v>273</v>
      </c>
      <c r="E290" s="21">
        <f t="shared" si="17"/>
        <v>8799266105</v>
      </c>
      <c r="F290" s="21">
        <f t="shared" si="18"/>
        <v>4531622044076</v>
      </c>
      <c r="G290" s="21">
        <f t="shared" si="19"/>
        <v>30496317868</v>
      </c>
      <c r="H290" s="22">
        <f t="shared" si="20"/>
        <v>0.88755966478493065</v>
      </c>
      <c r="I290" s="10"/>
    </row>
    <row r="291" spans="2:9" x14ac:dyDescent="0.25">
      <c r="B291" s="10"/>
      <c r="C291" s="10"/>
      <c r="D291" s="18">
        <v>274</v>
      </c>
      <c r="E291" s="21">
        <f t="shared" si="17"/>
        <v>30496317868</v>
      </c>
      <c r="F291" s="21">
        <f t="shared" si="18"/>
        <v>15705603702021</v>
      </c>
      <c r="G291" s="21">
        <f t="shared" si="19"/>
        <v>3203267845</v>
      </c>
      <c r="H291" s="22">
        <f t="shared" si="20"/>
        <v>9.3227364268386737E-2</v>
      </c>
      <c r="I291" s="10"/>
    </row>
    <row r="292" spans="2:9" x14ac:dyDescent="0.25">
      <c r="B292" s="10"/>
      <c r="C292" s="10"/>
      <c r="D292" s="18">
        <v>275</v>
      </c>
      <c r="E292" s="21">
        <f t="shared" si="17"/>
        <v>3203267845</v>
      </c>
      <c r="F292" s="21">
        <f t="shared" si="18"/>
        <v>1649682940176</v>
      </c>
      <c r="G292" s="21">
        <f t="shared" si="19"/>
        <v>415498512</v>
      </c>
      <c r="H292" s="22">
        <f t="shared" si="20"/>
        <v>1.2092598248273134E-2</v>
      </c>
      <c r="I292" s="10"/>
    </row>
    <row r="293" spans="2:9" x14ac:dyDescent="0.25">
      <c r="B293" s="10"/>
      <c r="C293" s="10"/>
      <c r="D293" s="18">
        <v>276</v>
      </c>
      <c r="E293" s="21">
        <f t="shared" si="17"/>
        <v>415498512</v>
      </c>
      <c r="F293" s="21">
        <f t="shared" si="18"/>
        <v>213981733681</v>
      </c>
      <c r="G293" s="21">
        <f t="shared" si="19"/>
        <v>7823303473</v>
      </c>
      <c r="H293" s="22">
        <f t="shared" si="20"/>
        <v>0.22768809788976796</v>
      </c>
      <c r="I293" s="10"/>
    </row>
    <row r="294" spans="2:9" x14ac:dyDescent="0.25">
      <c r="B294" s="10"/>
      <c r="C294" s="10"/>
      <c r="D294" s="18">
        <v>277</v>
      </c>
      <c r="E294" s="21">
        <f t="shared" si="17"/>
        <v>7823303473</v>
      </c>
      <c r="F294" s="21">
        <f t="shared" si="18"/>
        <v>4029001288596</v>
      </c>
      <c r="G294" s="21">
        <f t="shared" si="19"/>
        <v>8911899540</v>
      </c>
      <c r="H294" s="22">
        <f t="shared" si="20"/>
        <v>0.25937041325960308</v>
      </c>
      <c r="I294" s="10"/>
    </row>
    <row r="295" spans="2:9" x14ac:dyDescent="0.25">
      <c r="B295" s="10"/>
      <c r="C295" s="10"/>
      <c r="D295" s="18">
        <v>278</v>
      </c>
      <c r="E295" s="21">
        <f t="shared" si="17"/>
        <v>8911899540</v>
      </c>
      <c r="F295" s="21">
        <f t="shared" si="18"/>
        <v>4589628263101</v>
      </c>
      <c r="G295" s="21">
        <f t="shared" si="19"/>
        <v>19783060157</v>
      </c>
      <c r="H295" s="22">
        <f t="shared" si="20"/>
        <v>0.57576282872469164</v>
      </c>
      <c r="I295" s="10"/>
    </row>
    <row r="296" spans="2:9" x14ac:dyDescent="0.25">
      <c r="B296" s="10"/>
      <c r="C296" s="10"/>
      <c r="D296" s="18">
        <v>279</v>
      </c>
      <c r="E296" s="21">
        <f t="shared" si="17"/>
        <v>19783060157</v>
      </c>
      <c r="F296" s="21">
        <f t="shared" si="18"/>
        <v>10188275980856</v>
      </c>
      <c r="G296" s="21">
        <f t="shared" si="19"/>
        <v>17793423928</v>
      </c>
      <c r="H296" s="22">
        <f t="shared" si="20"/>
        <v>0.51785679324530065</v>
      </c>
      <c r="I296" s="10"/>
    </row>
    <row r="297" spans="2:9" x14ac:dyDescent="0.25">
      <c r="B297" s="10"/>
      <c r="C297" s="10"/>
      <c r="D297" s="18">
        <v>280</v>
      </c>
      <c r="E297" s="21">
        <f t="shared" si="17"/>
        <v>17793423928</v>
      </c>
      <c r="F297" s="21">
        <f t="shared" si="18"/>
        <v>9163613322921</v>
      </c>
      <c r="G297" s="21">
        <f t="shared" si="19"/>
        <v>23922917033</v>
      </c>
      <c r="H297" s="22">
        <f t="shared" si="20"/>
        <v>0.69624852135893889</v>
      </c>
      <c r="I297" s="10"/>
    </row>
    <row r="298" spans="2:9" x14ac:dyDescent="0.25">
      <c r="B298" s="10"/>
      <c r="C298" s="10"/>
      <c r="D298" s="18">
        <v>281</v>
      </c>
      <c r="E298" s="21">
        <f t="shared" si="17"/>
        <v>23922917033</v>
      </c>
      <c r="F298" s="21">
        <f t="shared" si="18"/>
        <v>12320302271996</v>
      </c>
      <c r="G298" s="21">
        <f t="shared" si="19"/>
        <v>19515936252</v>
      </c>
      <c r="H298" s="22">
        <f t="shared" si="20"/>
        <v>0.567988499882631</v>
      </c>
      <c r="I298" s="10"/>
    </row>
    <row r="299" spans="2:9" x14ac:dyDescent="0.25">
      <c r="B299" s="10"/>
      <c r="C299" s="10"/>
      <c r="D299" s="18">
        <v>282</v>
      </c>
      <c r="E299" s="21">
        <f t="shared" si="17"/>
        <v>19515936252</v>
      </c>
      <c r="F299" s="21">
        <f t="shared" si="18"/>
        <v>10050707169781</v>
      </c>
      <c r="G299" s="21">
        <f t="shared" si="19"/>
        <v>17663566325</v>
      </c>
      <c r="H299" s="22">
        <f t="shared" si="20"/>
        <v>0.51407743958407082</v>
      </c>
      <c r="I299" s="10"/>
    </row>
    <row r="300" spans="2:9" x14ac:dyDescent="0.25">
      <c r="B300" s="10"/>
      <c r="C300" s="10"/>
      <c r="D300" s="18">
        <v>283</v>
      </c>
      <c r="E300" s="21">
        <f t="shared" si="17"/>
        <v>17663566325</v>
      </c>
      <c r="F300" s="21">
        <f t="shared" si="18"/>
        <v>9096736657376</v>
      </c>
      <c r="G300" s="21">
        <f t="shared" si="19"/>
        <v>25765728224</v>
      </c>
      <c r="H300" s="22">
        <f t="shared" si="20"/>
        <v>0.7498813858255744</v>
      </c>
      <c r="I300" s="10"/>
    </row>
    <row r="301" spans="2:9" x14ac:dyDescent="0.25">
      <c r="B301" s="10"/>
      <c r="C301" s="10"/>
      <c r="D301" s="18">
        <v>284</v>
      </c>
      <c r="E301" s="21">
        <f t="shared" si="17"/>
        <v>25765728224</v>
      </c>
      <c r="F301" s="21">
        <f t="shared" si="18"/>
        <v>13269350035361</v>
      </c>
      <c r="G301" s="21">
        <f t="shared" si="19"/>
        <v>6491025313</v>
      </c>
      <c r="H301" s="22">
        <f t="shared" si="20"/>
        <v>0.18891370019991882</v>
      </c>
      <c r="I301" s="10"/>
    </row>
    <row r="302" spans="2:9" x14ac:dyDescent="0.25">
      <c r="B302" s="10"/>
      <c r="C302" s="10"/>
      <c r="D302" s="18">
        <v>285</v>
      </c>
      <c r="E302" s="21">
        <f t="shared" si="17"/>
        <v>6491025313</v>
      </c>
      <c r="F302" s="21">
        <f t="shared" si="18"/>
        <v>3342878036196</v>
      </c>
      <c r="G302" s="21">
        <f t="shared" si="19"/>
        <v>9983414500</v>
      </c>
      <c r="H302" s="22">
        <f t="shared" si="20"/>
        <v>0.29055560298729688</v>
      </c>
      <c r="I302" s="10"/>
    </row>
    <row r="303" spans="2:9" x14ac:dyDescent="0.25">
      <c r="B303" s="10"/>
      <c r="C303" s="10"/>
      <c r="D303" s="18">
        <v>286</v>
      </c>
      <c r="E303" s="21">
        <f t="shared" si="17"/>
        <v>9983414500</v>
      </c>
      <c r="F303" s="21">
        <f t="shared" si="18"/>
        <v>5141458467501</v>
      </c>
      <c r="G303" s="21">
        <f t="shared" si="19"/>
        <v>21857450669</v>
      </c>
      <c r="H303" s="22">
        <f t="shared" si="20"/>
        <v>0.63613553848699667</v>
      </c>
      <c r="I303" s="10"/>
    </row>
    <row r="304" spans="2:9" x14ac:dyDescent="0.25">
      <c r="B304" s="10"/>
      <c r="C304" s="10"/>
      <c r="D304" s="18">
        <v>287</v>
      </c>
      <c r="E304" s="21">
        <f t="shared" si="17"/>
        <v>21857450669</v>
      </c>
      <c r="F304" s="21">
        <f t="shared" si="18"/>
        <v>11256587094536</v>
      </c>
      <c r="G304" s="21">
        <f t="shared" si="19"/>
        <v>20952648200</v>
      </c>
      <c r="H304" s="22">
        <f t="shared" si="20"/>
        <v>0.60980232083238661</v>
      </c>
      <c r="I304" s="10"/>
    </row>
    <row r="305" spans="2:9" x14ac:dyDescent="0.25">
      <c r="B305" s="10"/>
      <c r="C305" s="10"/>
      <c r="D305" s="18">
        <v>288</v>
      </c>
      <c r="E305" s="21">
        <f t="shared" si="17"/>
        <v>20952648200</v>
      </c>
      <c r="F305" s="21">
        <f t="shared" si="18"/>
        <v>10790613823001</v>
      </c>
      <c r="G305" s="21">
        <f t="shared" si="19"/>
        <v>1655975449</v>
      </c>
      <c r="H305" s="22">
        <f t="shared" si="20"/>
        <v>4.819522870820947E-2</v>
      </c>
      <c r="I305" s="10"/>
    </row>
    <row r="306" spans="2:9" x14ac:dyDescent="0.25">
      <c r="B306" s="10"/>
      <c r="C306" s="10"/>
      <c r="D306" s="18">
        <v>289</v>
      </c>
      <c r="E306" s="21">
        <f t="shared" si="17"/>
        <v>1655975449</v>
      </c>
      <c r="F306" s="21">
        <f t="shared" si="18"/>
        <v>852827356236</v>
      </c>
      <c r="G306" s="21">
        <f t="shared" si="19"/>
        <v>28193635404</v>
      </c>
      <c r="H306" s="22">
        <f t="shared" si="20"/>
        <v>0.82054278475698084</v>
      </c>
      <c r="I306" s="10"/>
    </row>
    <row r="307" spans="2:9" x14ac:dyDescent="0.25">
      <c r="B307" s="10"/>
      <c r="C307" s="10"/>
      <c r="D307" s="18">
        <v>290</v>
      </c>
      <c r="E307" s="21">
        <f t="shared" si="17"/>
        <v>28193635404</v>
      </c>
      <c r="F307" s="21">
        <f t="shared" si="18"/>
        <v>14519722233061</v>
      </c>
      <c r="G307" s="21">
        <f t="shared" si="19"/>
        <v>19912641765</v>
      </c>
      <c r="H307" s="22">
        <f t="shared" si="20"/>
        <v>0.57953414987423457</v>
      </c>
      <c r="I307" s="10"/>
    </row>
    <row r="308" spans="2:9" x14ac:dyDescent="0.25">
      <c r="B308" s="10"/>
      <c r="C308" s="10"/>
      <c r="D308" s="18">
        <v>291</v>
      </c>
      <c r="E308" s="21">
        <f t="shared" si="17"/>
        <v>19912641765</v>
      </c>
      <c r="F308" s="21">
        <f t="shared" si="18"/>
        <v>10255010508976</v>
      </c>
      <c r="G308" s="21">
        <f t="shared" si="19"/>
        <v>15808475312</v>
      </c>
      <c r="H308" s="22">
        <f t="shared" si="20"/>
        <v>0.46008718525990844</v>
      </c>
      <c r="I308" s="10"/>
    </row>
    <row r="309" spans="2:9" x14ac:dyDescent="0.25">
      <c r="B309" s="10"/>
      <c r="C309" s="10"/>
      <c r="D309" s="18">
        <v>292</v>
      </c>
      <c r="E309" s="21">
        <f t="shared" si="17"/>
        <v>15808475312</v>
      </c>
      <c r="F309" s="21">
        <f t="shared" si="18"/>
        <v>8141364785681</v>
      </c>
      <c r="G309" s="21">
        <f t="shared" si="19"/>
        <v>32466530833</v>
      </c>
      <c r="H309" s="22">
        <f t="shared" si="20"/>
        <v>0.94490040888194926</v>
      </c>
      <c r="I309" s="10"/>
    </row>
    <row r="310" spans="2:9" x14ac:dyDescent="0.25">
      <c r="B310" s="10"/>
      <c r="C310" s="10"/>
      <c r="D310" s="18">
        <v>293</v>
      </c>
      <c r="E310" s="21">
        <f t="shared" ref="E310:E373" si="21">G309</f>
        <v>32466530833</v>
      </c>
      <c r="F310" s="21">
        <f t="shared" si="18"/>
        <v>16720263378996</v>
      </c>
      <c r="G310" s="21">
        <f t="shared" si="19"/>
        <v>21430532148</v>
      </c>
      <c r="H310" s="22">
        <f t="shared" si="20"/>
        <v>0.62371057423297316</v>
      </c>
      <c r="I310" s="10"/>
    </row>
    <row r="311" spans="2:9" x14ac:dyDescent="0.25">
      <c r="B311" s="10"/>
      <c r="C311" s="10"/>
      <c r="D311" s="18">
        <v>294</v>
      </c>
      <c r="E311" s="21">
        <f t="shared" si="21"/>
        <v>21430532148</v>
      </c>
      <c r="F311" s="21">
        <f t="shared" si="18"/>
        <v>11036724056221</v>
      </c>
      <c r="G311" s="21">
        <f t="shared" si="19"/>
        <v>7248040093</v>
      </c>
      <c r="H311" s="22">
        <f t="shared" si="20"/>
        <v>0.21094573001028039</v>
      </c>
      <c r="I311" s="10"/>
    </row>
    <row r="312" spans="2:9" x14ac:dyDescent="0.25">
      <c r="B312" s="10"/>
      <c r="C312" s="10"/>
      <c r="D312" s="18">
        <v>295</v>
      </c>
      <c r="E312" s="21">
        <f t="shared" si="21"/>
        <v>7248040093</v>
      </c>
      <c r="F312" s="21">
        <f t="shared" si="18"/>
        <v>3732740647896</v>
      </c>
      <c r="G312" s="21">
        <f t="shared" si="19"/>
        <v>21888904152</v>
      </c>
      <c r="H312" s="22">
        <f t="shared" si="20"/>
        <v>0.63705095532350242</v>
      </c>
      <c r="I312" s="10"/>
    </row>
    <row r="313" spans="2:9" x14ac:dyDescent="0.25">
      <c r="B313" s="10"/>
      <c r="C313" s="10"/>
      <c r="D313" s="18">
        <v>296</v>
      </c>
      <c r="E313" s="21">
        <f t="shared" si="21"/>
        <v>21888904152</v>
      </c>
      <c r="F313" s="21">
        <f t="shared" si="18"/>
        <v>11272785638281</v>
      </c>
      <c r="G313" s="21">
        <f t="shared" si="19"/>
        <v>2791453577</v>
      </c>
      <c r="H313" s="22">
        <f t="shared" si="20"/>
        <v>8.1241991632850841E-2</v>
      </c>
      <c r="I313" s="10"/>
    </row>
    <row r="314" spans="2:9" x14ac:dyDescent="0.25">
      <c r="B314" s="10"/>
      <c r="C314" s="10"/>
      <c r="D314" s="18">
        <v>297</v>
      </c>
      <c r="E314" s="21">
        <f t="shared" si="21"/>
        <v>2791453577</v>
      </c>
      <c r="F314" s="21">
        <f t="shared" si="18"/>
        <v>1437598592156</v>
      </c>
      <c r="G314" s="21">
        <f t="shared" si="19"/>
        <v>28849319068</v>
      </c>
      <c r="H314" s="22">
        <f t="shared" si="20"/>
        <v>0.83962569094728678</v>
      </c>
      <c r="I314" s="10"/>
    </row>
    <row r="315" spans="2:9" x14ac:dyDescent="0.25">
      <c r="B315" s="10"/>
      <c r="C315" s="10"/>
      <c r="D315" s="18">
        <v>298</v>
      </c>
      <c r="E315" s="21">
        <f t="shared" si="21"/>
        <v>28849319068</v>
      </c>
      <c r="F315" s="21">
        <f t="shared" si="18"/>
        <v>14857399320021</v>
      </c>
      <c r="G315" s="21">
        <f t="shared" si="19"/>
        <v>13992345045</v>
      </c>
      <c r="H315" s="22">
        <f t="shared" si="20"/>
        <v>0.40723083788179792</v>
      </c>
      <c r="I315" s="10"/>
    </row>
    <row r="316" spans="2:9" x14ac:dyDescent="0.25">
      <c r="B316" s="10"/>
      <c r="C316" s="10"/>
      <c r="D316" s="18">
        <v>299</v>
      </c>
      <c r="E316" s="21">
        <f t="shared" si="21"/>
        <v>13992345045</v>
      </c>
      <c r="F316" s="21">
        <f t="shared" si="18"/>
        <v>7206057698176</v>
      </c>
      <c r="G316" s="21">
        <f t="shared" si="19"/>
        <v>24872379264</v>
      </c>
      <c r="H316" s="22">
        <f t="shared" si="20"/>
        <v>0.72388150915503502</v>
      </c>
      <c r="I316" s="10"/>
    </row>
    <row r="317" spans="2:9" x14ac:dyDescent="0.25">
      <c r="B317" s="10"/>
      <c r="C317" s="10"/>
      <c r="D317" s="18">
        <v>300</v>
      </c>
      <c r="E317" s="21">
        <f t="shared" si="21"/>
        <v>24872379264</v>
      </c>
      <c r="F317" s="21">
        <f t="shared" si="18"/>
        <v>12809275320961</v>
      </c>
      <c r="G317" s="21">
        <f t="shared" si="19"/>
        <v>27452648065</v>
      </c>
      <c r="H317" s="22">
        <f t="shared" si="20"/>
        <v>0.79897721487213857</v>
      </c>
      <c r="I317" s="10"/>
    </row>
    <row r="318" spans="2:9" x14ac:dyDescent="0.25">
      <c r="B318" s="10"/>
      <c r="C318" s="10"/>
      <c r="D318" s="18">
        <v>301</v>
      </c>
      <c r="E318" s="21">
        <f t="shared" si="21"/>
        <v>27452648065</v>
      </c>
      <c r="F318" s="21">
        <f t="shared" si="18"/>
        <v>14138113753476</v>
      </c>
      <c r="G318" s="21">
        <f t="shared" si="19"/>
        <v>16261284228</v>
      </c>
      <c r="H318" s="22">
        <f t="shared" si="20"/>
        <v>0.47326565918046981</v>
      </c>
      <c r="I318" s="10"/>
    </row>
    <row r="319" spans="2:9" x14ac:dyDescent="0.25">
      <c r="B319" s="10"/>
      <c r="C319" s="10"/>
      <c r="D319" s="18">
        <v>302</v>
      </c>
      <c r="E319" s="21">
        <f t="shared" si="21"/>
        <v>16261284228</v>
      </c>
      <c r="F319" s="21">
        <f t="shared" si="18"/>
        <v>8374561377421</v>
      </c>
      <c r="G319" s="21">
        <f t="shared" si="19"/>
        <v>25144953997</v>
      </c>
      <c r="H319" s="22">
        <f t="shared" si="20"/>
        <v>0.73181447797105648</v>
      </c>
      <c r="I319" s="10"/>
    </row>
    <row r="320" spans="2:9" x14ac:dyDescent="0.25">
      <c r="B320" s="10"/>
      <c r="C320" s="10"/>
      <c r="D320" s="18">
        <v>303</v>
      </c>
      <c r="E320" s="21">
        <f t="shared" si="21"/>
        <v>25144953997</v>
      </c>
      <c r="F320" s="21">
        <f t="shared" si="18"/>
        <v>12949651308456</v>
      </c>
      <c r="G320" s="21">
        <f t="shared" si="19"/>
        <v>30389682088</v>
      </c>
      <c r="H320" s="22">
        <f t="shared" si="20"/>
        <v>0.88445615512318909</v>
      </c>
      <c r="I320" s="10"/>
    </row>
    <row r="321" spans="2:9" x14ac:dyDescent="0.25">
      <c r="B321" s="10"/>
      <c r="C321" s="10"/>
      <c r="D321" s="18">
        <v>304</v>
      </c>
      <c r="E321" s="21">
        <f t="shared" si="21"/>
        <v>30389682088</v>
      </c>
      <c r="F321" s="21">
        <f t="shared" si="18"/>
        <v>15650686275321</v>
      </c>
      <c r="G321" s="21">
        <f t="shared" si="19"/>
        <v>17005317881</v>
      </c>
      <c r="H321" s="22">
        <f t="shared" si="20"/>
        <v>0.49491988847148605</v>
      </c>
      <c r="I321" s="10"/>
    </row>
    <row r="322" spans="2:9" x14ac:dyDescent="0.25">
      <c r="B322" s="10"/>
      <c r="C322" s="10"/>
      <c r="D322" s="18">
        <v>305</v>
      </c>
      <c r="E322" s="21">
        <f t="shared" si="21"/>
        <v>17005317881</v>
      </c>
      <c r="F322" s="21">
        <f t="shared" si="18"/>
        <v>8757738708716</v>
      </c>
      <c r="G322" s="21">
        <f t="shared" si="19"/>
        <v>30365163244</v>
      </c>
      <c r="H322" s="22">
        <f t="shared" si="20"/>
        <v>0.88374256284441799</v>
      </c>
      <c r="I322" s="10"/>
    </row>
    <row r="323" spans="2:9" x14ac:dyDescent="0.25">
      <c r="B323" s="10"/>
      <c r="C323" s="10"/>
      <c r="D323" s="18">
        <v>306</v>
      </c>
      <c r="E323" s="21">
        <f t="shared" si="21"/>
        <v>30365163244</v>
      </c>
      <c r="F323" s="21">
        <f t="shared" si="18"/>
        <v>15638059070661</v>
      </c>
      <c r="G323" s="21">
        <f t="shared" si="19"/>
        <v>4378113221</v>
      </c>
      <c r="H323" s="22">
        <f t="shared" si="20"/>
        <v>0.1274198649043683</v>
      </c>
      <c r="I323" s="10"/>
    </row>
    <row r="324" spans="2:9" x14ac:dyDescent="0.25">
      <c r="B324" s="10"/>
      <c r="C324" s="10"/>
      <c r="D324" s="18">
        <v>307</v>
      </c>
      <c r="E324" s="21">
        <f t="shared" si="21"/>
        <v>4378113221</v>
      </c>
      <c r="F324" s="21">
        <f t="shared" si="18"/>
        <v>2254728308816</v>
      </c>
      <c r="G324" s="21">
        <f t="shared" si="19"/>
        <v>21345314896</v>
      </c>
      <c r="H324" s="22">
        <f t="shared" si="20"/>
        <v>0.62123042577877641</v>
      </c>
      <c r="I324" s="10"/>
    </row>
    <row r="325" spans="2:9" x14ac:dyDescent="0.25">
      <c r="B325" s="10"/>
      <c r="C325" s="10"/>
      <c r="D325" s="18">
        <v>308</v>
      </c>
      <c r="E325" s="21">
        <f t="shared" si="21"/>
        <v>21345314896</v>
      </c>
      <c r="F325" s="21">
        <f t="shared" si="18"/>
        <v>10992837171441</v>
      </c>
      <c r="G325" s="21">
        <f t="shared" si="19"/>
        <v>32080632049</v>
      </c>
      <c r="H325" s="22">
        <f t="shared" si="20"/>
        <v>0.93366927609895356</v>
      </c>
      <c r="I325" s="10"/>
    </row>
    <row r="326" spans="2:9" x14ac:dyDescent="0.25">
      <c r="B326" s="10"/>
      <c r="C326" s="10"/>
      <c r="D326" s="18">
        <v>309</v>
      </c>
      <c r="E326" s="21">
        <f t="shared" si="21"/>
        <v>32080632049</v>
      </c>
      <c r="F326" s="21">
        <f t="shared" si="18"/>
        <v>16521525505236</v>
      </c>
      <c r="G326" s="21">
        <f t="shared" si="19"/>
        <v>28851088596</v>
      </c>
      <c r="H326" s="22">
        <f t="shared" si="20"/>
        <v>0.83967719099018723</v>
      </c>
      <c r="I326" s="10"/>
    </row>
    <row r="327" spans="2:9" x14ac:dyDescent="0.25">
      <c r="B327" s="10"/>
      <c r="C327" s="10"/>
      <c r="D327" s="18">
        <v>310</v>
      </c>
      <c r="E327" s="21">
        <f t="shared" si="21"/>
        <v>28851088596</v>
      </c>
      <c r="F327" s="21">
        <f t="shared" si="18"/>
        <v>14858310626941</v>
      </c>
      <c r="G327" s="21">
        <f t="shared" si="19"/>
        <v>14903651965</v>
      </c>
      <c r="H327" s="22">
        <f t="shared" si="20"/>
        <v>0.43375335997552611</v>
      </c>
      <c r="I327" s="10"/>
    </row>
    <row r="328" spans="2:9" x14ac:dyDescent="0.25">
      <c r="B328" s="10"/>
      <c r="C328" s="10"/>
      <c r="D328" s="18">
        <v>311</v>
      </c>
      <c r="E328" s="21">
        <f t="shared" si="21"/>
        <v>14903651965</v>
      </c>
      <c r="F328" s="21">
        <f t="shared" si="18"/>
        <v>7675380761976</v>
      </c>
      <c r="G328" s="21">
        <f t="shared" si="19"/>
        <v>13159105912</v>
      </c>
      <c r="H328" s="22">
        <f t="shared" si="20"/>
        <v>0.38298038742505014</v>
      </c>
      <c r="I328" s="10"/>
    </row>
    <row r="329" spans="2:9" x14ac:dyDescent="0.25">
      <c r="B329" s="10"/>
      <c r="C329" s="10"/>
      <c r="D329" s="18">
        <v>312</v>
      </c>
      <c r="E329" s="21">
        <f t="shared" si="21"/>
        <v>13159105912</v>
      </c>
      <c r="F329" s="21">
        <f t="shared" si="18"/>
        <v>6776939544681</v>
      </c>
      <c r="G329" s="21">
        <f t="shared" si="19"/>
        <v>8071086185</v>
      </c>
      <c r="H329" s="22">
        <f t="shared" si="20"/>
        <v>0.23489952392992564</v>
      </c>
      <c r="I329" s="10"/>
    </row>
    <row r="330" spans="2:9" x14ac:dyDescent="0.25">
      <c r="B330" s="10"/>
      <c r="C330" s="10"/>
      <c r="D330" s="18">
        <v>313</v>
      </c>
      <c r="E330" s="21">
        <f t="shared" si="21"/>
        <v>8071086185</v>
      </c>
      <c r="F330" s="21">
        <f t="shared" si="18"/>
        <v>4156609385276</v>
      </c>
      <c r="G330" s="21">
        <f t="shared" si="19"/>
        <v>33440781116</v>
      </c>
      <c r="H330" s="22">
        <f t="shared" si="20"/>
        <v>0.97325482394080609</v>
      </c>
      <c r="I330" s="10"/>
    </row>
    <row r="331" spans="2:9" x14ac:dyDescent="0.25">
      <c r="B331" s="10"/>
      <c r="C331" s="10"/>
      <c r="D331" s="18">
        <v>314</v>
      </c>
      <c r="E331" s="21">
        <f t="shared" si="21"/>
        <v>33440781116</v>
      </c>
      <c r="F331" s="21">
        <f t="shared" si="18"/>
        <v>17222002274741</v>
      </c>
      <c r="G331" s="21">
        <f t="shared" si="19"/>
        <v>7773352373</v>
      </c>
      <c r="H331" s="22">
        <f t="shared" si="20"/>
        <v>0.22623432954424061</v>
      </c>
      <c r="I331" s="10"/>
    </row>
    <row r="332" spans="2:9" x14ac:dyDescent="0.25">
      <c r="B332" s="10"/>
      <c r="C332" s="10"/>
      <c r="D332" s="18">
        <v>315</v>
      </c>
      <c r="E332" s="21">
        <f t="shared" si="21"/>
        <v>7773352373</v>
      </c>
      <c r="F332" s="21">
        <f t="shared" si="18"/>
        <v>4003276472096</v>
      </c>
      <c r="G332" s="21">
        <f t="shared" si="19"/>
        <v>17546821408</v>
      </c>
      <c r="H332" s="22">
        <f t="shared" si="20"/>
        <v>0.51067971531301737</v>
      </c>
      <c r="I332" s="10"/>
    </row>
    <row r="333" spans="2:9" x14ac:dyDescent="0.25">
      <c r="B333" s="10"/>
      <c r="C333" s="10"/>
      <c r="D333" s="18">
        <v>316</v>
      </c>
      <c r="E333" s="21">
        <f t="shared" si="21"/>
        <v>17546821408</v>
      </c>
      <c r="F333" s="21">
        <f t="shared" si="18"/>
        <v>9036613025121</v>
      </c>
      <c r="G333" s="21">
        <f t="shared" si="19"/>
        <v>1834337</v>
      </c>
      <c r="H333" s="22">
        <f t="shared" si="20"/>
        <v>5.3386233048513532E-5</v>
      </c>
      <c r="I333" s="10"/>
    </row>
    <row r="334" spans="2:9" x14ac:dyDescent="0.25">
      <c r="B334" s="10"/>
      <c r="C334" s="10"/>
      <c r="D334" s="18">
        <v>317</v>
      </c>
      <c r="E334" s="21">
        <f t="shared" si="21"/>
        <v>1834337</v>
      </c>
      <c r="F334" s="21">
        <f t="shared" si="18"/>
        <v>944683556</v>
      </c>
      <c r="G334" s="21">
        <f t="shared" si="19"/>
        <v>944683556</v>
      </c>
      <c r="H334" s="22">
        <f t="shared" si="20"/>
        <v>2.7493910049088299E-2</v>
      </c>
      <c r="I334" s="10"/>
    </row>
    <row r="335" spans="2:9" x14ac:dyDescent="0.25">
      <c r="B335" s="10"/>
      <c r="C335" s="10"/>
      <c r="D335" s="18">
        <v>318</v>
      </c>
      <c r="E335" s="21">
        <f t="shared" si="21"/>
        <v>944683556</v>
      </c>
      <c r="F335" s="21">
        <f t="shared" si="18"/>
        <v>486512031341</v>
      </c>
      <c r="G335" s="21">
        <f t="shared" si="19"/>
        <v>5475694189</v>
      </c>
      <c r="H335" s="22">
        <f t="shared" si="20"/>
        <v>0.15936367530957796</v>
      </c>
      <c r="I335" s="10"/>
    </row>
    <row r="336" spans="2:9" x14ac:dyDescent="0.25">
      <c r="B336" s="10"/>
      <c r="C336" s="10"/>
      <c r="D336" s="18">
        <v>319</v>
      </c>
      <c r="E336" s="21">
        <f t="shared" si="21"/>
        <v>5475694189</v>
      </c>
      <c r="F336" s="21">
        <f t="shared" si="18"/>
        <v>2819982507336</v>
      </c>
      <c r="G336" s="21">
        <f t="shared" si="19"/>
        <v>2483961160</v>
      </c>
      <c r="H336" s="22">
        <f t="shared" si="20"/>
        <v>7.229278446175158E-2</v>
      </c>
      <c r="I336" s="10"/>
    </row>
    <row r="337" spans="2:9" x14ac:dyDescent="0.25">
      <c r="B337" s="10"/>
      <c r="C337" s="10"/>
      <c r="D337" s="18">
        <v>320</v>
      </c>
      <c r="E337" s="21">
        <f t="shared" si="21"/>
        <v>2483961160</v>
      </c>
      <c r="F337" s="21">
        <f t="shared" si="18"/>
        <v>1279239997401</v>
      </c>
      <c r="G337" s="21">
        <f t="shared" si="19"/>
        <v>7929677785</v>
      </c>
      <c r="H337" s="22">
        <f t="shared" si="20"/>
        <v>0.23078399783116765</v>
      </c>
      <c r="I337" s="10"/>
    </row>
    <row r="338" spans="2:9" x14ac:dyDescent="0.25">
      <c r="B338" s="10"/>
      <c r="C338" s="10"/>
      <c r="D338" s="18">
        <v>321</v>
      </c>
      <c r="E338" s="21">
        <f t="shared" si="21"/>
        <v>7929677785</v>
      </c>
      <c r="F338" s="21">
        <f t="shared" si="18"/>
        <v>4083784059276</v>
      </c>
      <c r="G338" s="21">
        <f t="shared" si="19"/>
        <v>29334931852</v>
      </c>
      <c r="H338" s="22">
        <f t="shared" si="20"/>
        <v>0.85375888308044523</v>
      </c>
      <c r="I338" s="10"/>
    </row>
    <row r="339" spans="2:9" x14ac:dyDescent="0.25">
      <c r="B339" s="10"/>
      <c r="C339" s="10"/>
      <c r="D339" s="18">
        <v>322</v>
      </c>
      <c r="E339" s="21">
        <f t="shared" si="21"/>
        <v>29334931852</v>
      </c>
      <c r="F339" s="21">
        <f t="shared" ref="F339:F402" si="22">E$7 * E339 + H$7</f>
        <v>15107489903781</v>
      </c>
      <c r="G339" s="21">
        <f t="shared" ref="G339:G402" si="23">MOD(F339,F$7)</f>
        <v>23564760229</v>
      </c>
      <c r="H339" s="22">
        <f t="shared" ref="H339:H402" si="24">G339/F$7</f>
        <v>0.68582478645839728</v>
      </c>
      <c r="I339" s="10"/>
    </row>
    <row r="340" spans="2:9" x14ac:dyDescent="0.25">
      <c r="B340" s="10"/>
      <c r="C340" s="10"/>
      <c r="D340" s="18">
        <v>323</v>
      </c>
      <c r="E340" s="21">
        <f t="shared" si="21"/>
        <v>23564760229</v>
      </c>
      <c r="F340" s="21">
        <f t="shared" si="22"/>
        <v>12135851517936</v>
      </c>
      <c r="G340" s="21">
        <f t="shared" si="23"/>
        <v>6863874032</v>
      </c>
      <c r="H340" s="22">
        <f t="shared" si="24"/>
        <v>0.19976502610370517</v>
      </c>
      <c r="I340" s="10"/>
    </row>
    <row r="341" spans="2:9" x14ac:dyDescent="0.25">
      <c r="B341" s="10"/>
      <c r="C341" s="10"/>
      <c r="D341" s="18">
        <v>324</v>
      </c>
      <c r="E341" s="21">
        <f t="shared" si="21"/>
        <v>6863874032</v>
      </c>
      <c r="F341" s="21">
        <f t="shared" si="22"/>
        <v>3534895126481</v>
      </c>
      <c r="G341" s="21">
        <f t="shared" si="23"/>
        <v>30201812945</v>
      </c>
      <c r="H341" s="22">
        <f t="shared" si="24"/>
        <v>0.87898844343726523</v>
      </c>
      <c r="I341" s="10"/>
    </row>
    <row r="342" spans="2:9" x14ac:dyDescent="0.25">
      <c r="B342" s="10"/>
      <c r="C342" s="10"/>
      <c r="D342" s="18">
        <v>325</v>
      </c>
      <c r="E342" s="21">
        <f t="shared" si="21"/>
        <v>30201812945</v>
      </c>
      <c r="F342" s="21">
        <f t="shared" si="22"/>
        <v>15553933666676</v>
      </c>
      <c r="G342" s="21">
        <f t="shared" si="23"/>
        <v>23331924340</v>
      </c>
      <c r="H342" s="22">
        <f t="shared" si="24"/>
        <v>0.67904837022069842</v>
      </c>
      <c r="I342" s="10"/>
    </row>
    <row r="343" spans="2:9" x14ac:dyDescent="0.25">
      <c r="B343" s="10"/>
      <c r="C343" s="10"/>
      <c r="D343" s="18">
        <v>326</v>
      </c>
      <c r="E343" s="21">
        <f t="shared" si="21"/>
        <v>23331924340</v>
      </c>
      <c r="F343" s="21">
        <f t="shared" si="22"/>
        <v>12015941035101</v>
      </c>
      <c r="G343" s="21">
        <f t="shared" si="23"/>
        <v>24392344669</v>
      </c>
      <c r="H343" s="22">
        <f t="shared" si="24"/>
        <v>0.70991066368878819</v>
      </c>
      <c r="I343" s="10"/>
    </row>
    <row r="344" spans="2:9" x14ac:dyDescent="0.25">
      <c r="B344" s="10"/>
      <c r="C344" s="10"/>
      <c r="D344" s="18">
        <v>327</v>
      </c>
      <c r="E344" s="21">
        <f t="shared" si="21"/>
        <v>24392344669</v>
      </c>
      <c r="F344" s="21">
        <f t="shared" si="22"/>
        <v>12562057504536</v>
      </c>
      <c r="G344" s="21">
        <f t="shared" si="23"/>
        <v>20753000216</v>
      </c>
      <c r="H344" s="22">
        <f t="shared" si="24"/>
        <v>0.60399179975502193</v>
      </c>
      <c r="I344" s="10"/>
    </row>
    <row r="345" spans="2:9" x14ac:dyDescent="0.25">
      <c r="B345" s="10"/>
      <c r="C345" s="10"/>
      <c r="D345" s="18">
        <v>328</v>
      </c>
      <c r="E345" s="21">
        <f t="shared" si="21"/>
        <v>20753000216</v>
      </c>
      <c r="F345" s="21">
        <f t="shared" si="22"/>
        <v>10687795111241</v>
      </c>
      <c r="G345" s="21">
        <f t="shared" si="23"/>
        <v>1916478793</v>
      </c>
      <c r="H345" s="22">
        <f t="shared" si="24"/>
        <v>5.5776873865397647E-2</v>
      </c>
      <c r="I345" s="10"/>
    </row>
    <row r="346" spans="2:9" x14ac:dyDescent="0.25">
      <c r="B346" s="10"/>
      <c r="C346" s="10"/>
      <c r="D346" s="18">
        <v>329</v>
      </c>
      <c r="E346" s="21">
        <f t="shared" si="21"/>
        <v>1916478793</v>
      </c>
      <c r="F346" s="21">
        <f t="shared" si="22"/>
        <v>986986578396</v>
      </c>
      <c r="G346" s="21">
        <f t="shared" si="23"/>
        <v>24913904092</v>
      </c>
      <c r="H346" s="22">
        <f t="shared" si="24"/>
        <v>0.72509004070889205</v>
      </c>
      <c r="I346" s="10"/>
    </row>
    <row r="347" spans="2:9" x14ac:dyDescent="0.25">
      <c r="B347" s="10"/>
      <c r="C347" s="10"/>
      <c r="D347" s="18">
        <v>330</v>
      </c>
      <c r="E347" s="21">
        <f t="shared" si="21"/>
        <v>24913904092</v>
      </c>
      <c r="F347" s="21">
        <f t="shared" si="22"/>
        <v>12830660607381</v>
      </c>
      <c r="G347" s="21">
        <f t="shared" si="23"/>
        <v>14478196117</v>
      </c>
      <c r="H347" s="22">
        <f t="shared" si="24"/>
        <v>0.42137096510850824</v>
      </c>
      <c r="I347" s="10"/>
    </row>
    <row r="348" spans="2:9" x14ac:dyDescent="0.25">
      <c r="B348" s="10"/>
      <c r="C348" s="10"/>
      <c r="D348" s="18">
        <v>331</v>
      </c>
      <c r="E348" s="21">
        <f t="shared" si="21"/>
        <v>14478196117</v>
      </c>
      <c r="F348" s="21">
        <f t="shared" si="22"/>
        <v>7456271000256</v>
      </c>
      <c r="G348" s="21">
        <f t="shared" si="23"/>
        <v>207774400</v>
      </c>
      <c r="H348" s="22">
        <f t="shared" si="24"/>
        <v>6.0470309108495712E-3</v>
      </c>
      <c r="I348" s="10"/>
    </row>
    <row r="349" spans="2:9" x14ac:dyDescent="0.25">
      <c r="B349" s="10"/>
      <c r="C349" s="10"/>
      <c r="D349" s="18">
        <v>332</v>
      </c>
      <c r="E349" s="21">
        <f t="shared" si="21"/>
        <v>207774400</v>
      </c>
      <c r="F349" s="21">
        <f t="shared" si="22"/>
        <v>107003816001</v>
      </c>
      <c r="G349" s="21">
        <f t="shared" si="23"/>
        <v>3924600897</v>
      </c>
      <c r="H349" s="22">
        <f t="shared" si="24"/>
        <v>0.11422091911663301</v>
      </c>
      <c r="I349" s="10"/>
    </row>
    <row r="350" spans="2:9" x14ac:dyDescent="0.25">
      <c r="B350" s="10"/>
      <c r="C350" s="10"/>
      <c r="D350" s="18">
        <v>333</v>
      </c>
      <c r="E350" s="21">
        <f t="shared" si="21"/>
        <v>3924600897</v>
      </c>
      <c r="F350" s="21">
        <f t="shared" si="22"/>
        <v>2021169461956</v>
      </c>
      <c r="G350" s="21">
        <f t="shared" si="23"/>
        <v>28304636612</v>
      </c>
      <c r="H350" s="22">
        <f t="shared" si="24"/>
        <v>0.82377334509510547</v>
      </c>
      <c r="I350" s="10"/>
    </row>
    <row r="351" spans="2:9" x14ac:dyDescent="0.25">
      <c r="B351" s="10"/>
      <c r="C351" s="10"/>
      <c r="D351" s="18">
        <v>334</v>
      </c>
      <c r="E351" s="21">
        <f t="shared" si="21"/>
        <v>28304636612</v>
      </c>
      <c r="F351" s="21">
        <f t="shared" si="22"/>
        <v>14576887855181</v>
      </c>
      <c r="G351" s="21">
        <f t="shared" si="23"/>
        <v>8358787149</v>
      </c>
      <c r="H351" s="22">
        <f t="shared" si="24"/>
        <v>0.24327272400842048</v>
      </c>
      <c r="I351" s="10"/>
    </row>
    <row r="352" spans="2:9" x14ac:dyDescent="0.25">
      <c r="B352" s="10"/>
      <c r="C352" s="10"/>
      <c r="D352" s="18">
        <v>335</v>
      </c>
      <c r="E352" s="21">
        <f t="shared" si="21"/>
        <v>8358787149</v>
      </c>
      <c r="F352" s="21">
        <f t="shared" si="22"/>
        <v>4304775381736</v>
      </c>
      <c r="G352" s="21">
        <f t="shared" si="23"/>
        <v>9808085736</v>
      </c>
      <c r="H352" s="22">
        <f t="shared" si="24"/>
        <v>0.2854528643656522</v>
      </c>
      <c r="I352" s="10"/>
    </row>
    <row r="353" spans="2:9" x14ac:dyDescent="0.25">
      <c r="B353" s="10"/>
      <c r="C353" s="10"/>
      <c r="D353" s="18">
        <v>336</v>
      </c>
      <c r="E353" s="21">
        <f t="shared" si="21"/>
        <v>9808085736</v>
      </c>
      <c r="F353" s="21">
        <f t="shared" si="22"/>
        <v>5051164154041</v>
      </c>
      <c r="G353" s="21">
        <f t="shared" si="23"/>
        <v>282613945</v>
      </c>
      <c r="H353" s="22">
        <f t="shared" si="24"/>
        <v>8.2251483399886638E-3</v>
      </c>
      <c r="I353" s="10"/>
    </row>
    <row r="354" spans="2:9" x14ac:dyDescent="0.25">
      <c r="B354" s="10"/>
      <c r="C354" s="10"/>
      <c r="D354" s="18">
        <v>337</v>
      </c>
      <c r="E354" s="21">
        <f t="shared" si="21"/>
        <v>282613945</v>
      </c>
      <c r="F354" s="21">
        <f t="shared" si="22"/>
        <v>145546181676</v>
      </c>
      <c r="G354" s="21">
        <f t="shared" si="23"/>
        <v>8107228204</v>
      </c>
      <c r="H354" s="22">
        <f t="shared" si="24"/>
        <v>0.23595139512326568</v>
      </c>
      <c r="I354" s="10"/>
    </row>
    <row r="355" spans="2:9" x14ac:dyDescent="0.25">
      <c r="B355" s="10"/>
      <c r="C355" s="10"/>
      <c r="D355" s="18">
        <v>338</v>
      </c>
      <c r="E355" s="21">
        <f t="shared" si="21"/>
        <v>8107228204</v>
      </c>
      <c r="F355" s="21">
        <f t="shared" si="22"/>
        <v>4175222525061</v>
      </c>
      <c r="G355" s="21">
        <f t="shared" si="23"/>
        <v>17694182533</v>
      </c>
      <c r="H355" s="22">
        <f t="shared" si="24"/>
        <v>0.51496848851093091</v>
      </c>
      <c r="I355" s="10"/>
    </row>
    <row r="356" spans="2:9" x14ac:dyDescent="0.25">
      <c r="B356" s="10"/>
      <c r="C356" s="10"/>
      <c r="D356" s="18">
        <v>339</v>
      </c>
      <c r="E356" s="21">
        <f t="shared" si="21"/>
        <v>17694182533</v>
      </c>
      <c r="F356" s="21">
        <f t="shared" si="22"/>
        <v>9112504004496</v>
      </c>
      <c r="G356" s="21">
        <f t="shared" si="23"/>
        <v>7173336976</v>
      </c>
      <c r="H356" s="22">
        <f t="shared" si="24"/>
        <v>0.20877158315852284</v>
      </c>
      <c r="I356" s="10"/>
    </row>
    <row r="357" spans="2:9" x14ac:dyDescent="0.25">
      <c r="B357" s="10"/>
      <c r="C357" s="10"/>
      <c r="D357" s="18">
        <v>340</v>
      </c>
      <c r="E357" s="21">
        <f t="shared" si="21"/>
        <v>7173336976</v>
      </c>
      <c r="F357" s="21">
        <f t="shared" si="22"/>
        <v>3694268542641</v>
      </c>
      <c r="G357" s="21">
        <f t="shared" si="23"/>
        <v>17776537265</v>
      </c>
      <c r="H357" s="22">
        <f t="shared" si="24"/>
        <v>0.51736532666836865</v>
      </c>
      <c r="I357" s="10"/>
    </row>
    <row r="358" spans="2:9" x14ac:dyDescent="0.25">
      <c r="B358" s="10"/>
      <c r="C358" s="10"/>
      <c r="D358" s="18">
        <v>341</v>
      </c>
      <c r="E358" s="21">
        <f t="shared" si="21"/>
        <v>17776537265</v>
      </c>
      <c r="F358" s="21">
        <f t="shared" si="22"/>
        <v>9154916691476</v>
      </c>
      <c r="G358" s="21">
        <f t="shared" si="23"/>
        <v>15226285588</v>
      </c>
      <c r="H358" s="22">
        <f t="shared" si="24"/>
        <v>0.44314323423895985</v>
      </c>
      <c r="I358" s="10"/>
    </row>
    <row r="359" spans="2:9" x14ac:dyDescent="0.25">
      <c r="B359" s="10"/>
      <c r="C359" s="10"/>
      <c r="D359" s="18">
        <v>342</v>
      </c>
      <c r="E359" s="21">
        <f t="shared" si="21"/>
        <v>15226285588</v>
      </c>
      <c r="F359" s="21">
        <f t="shared" si="22"/>
        <v>7841537077821</v>
      </c>
      <c r="G359" s="21">
        <f t="shared" si="23"/>
        <v>7516729917</v>
      </c>
      <c r="H359" s="22">
        <f t="shared" si="24"/>
        <v>0.218765633093426</v>
      </c>
      <c r="I359" s="10"/>
    </row>
    <row r="360" spans="2:9" x14ac:dyDescent="0.25">
      <c r="B360" s="10"/>
      <c r="C360" s="10"/>
      <c r="D360" s="18">
        <v>343</v>
      </c>
      <c r="E360" s="21">
        <f t="shared" si="21"/>
        <v>7516729917</v>
      </c>
      <c r="F360" s="21">
        <f t="shared" si="22"/>
        <v>3871115907256</v>
      </c>
      <c r="G360" s="21">
        <f t="shared" si="23"/>
        <v>22825210040</v>
      </c>
      <c r="H360" s="22">
        <f t="shared" si="24"/>
        <v>0.66430104314349592</v>
      </c>
      <c r="I360" s="10"/>
    </row>
    <row r="361" spans="2:9" x14ac:dyDescent="0.25">
      <c r="B361" s="10"/>
      <c r="C361" s="10"/>
      <c r="D361" s="18">
        <v>344</v>
      </c>
      <c r="E361" s="21">
        <f t="shared" si="21"/>
        <v>22825210040</v>
      </c>
      <c r="F361" s="21">
        <f t="shared" si="22"/>
        <v>11754983170601</v>
      </c>
      <c r="G361" s="21">
        <f t="shared" si="23"/>
        <v>3952648745</v>
      </c>
      <c r="H361" s="22">
        <f t="shared" si="24"/>
        <v>0.11503721892950125</v>
      </c>
      <c r="I361" s="10"/>
    </row>
    <row r="362" spans="2:9" x14ac:dyDescent="0.25">
      <c r="B362" s="10"/>
      <c r="C362" s="10"/>
      <c r="D362" s="18">
        <v>345</v>
      </c>
      <c r="E362" s="21">
        <f t="shared" si="21"/>
        <v>3952648745</v>
      </c>
      <c r="F362" s="21">
        <f t="shared" si="22"/>
        <v>2035614103676</v>
      </c>
      <c r="G362" s="21">
        <f t="shared" si="23"/>
        <v>8389539964</v>
      </c>
      <c r="H362" s="22">
        <f t="shared" si="24"/>
        <v>0.24416774872224778</v>
      </c>
      <c r="I362" s="10"/>
    </row>
    <row r="363" spans="2:9" x14ac:dyDescent="0.25">
      <c r="B363" s="10"/>
      <c r="C363" s="10"/>
      <c r="D363" s="18">
        <v>346</v>
      </c>
      <c r="E363" s="21">
        <f t="shared" si="21"/>
        <v>8389539964</v>
      </c>
      <c r="F363" s="21">
        <f t="shared" si="22"/>
        <v>4320613081461</v>
      </c>
      <c r="G363" s="21">
        <f t="shared" si="23"/>
        <v>25645785461</v>
      </c>
      <c r="H363" s="22">
        <f t="shared" si="24"/>
        <v>0.74639059198671021</v>
      </c>
      <c r="I363" s="10"/>
    </row>
    <row r="364" spans="2:9" x14ac:dyDescent="0.25">
      <c r="B364" s="10"/>
      <c r="C364" s="10"/>
      <c r="D364" s="18">
        <v>347</v>
      </c>
      <c r="E364" s="21">
        <f t="shared" si="21"/>
        <v>25645785461</v>
      </c>
      <c r="F364" s="21">
        <f t="shared" si="22"/>
        <v>13207579512416</v>
      </c>
      <c r="G364" s="21">
        <f t="shared" si="23"/>
        <v>13439979104</v>
      </c>
      <c r="H364" s="22">
        <f t="shared" si="24"/>
        <v>0.39115487318485975</v>
      </c>
      <c r="I364" s="10"/>
    </row>
    <row r="365" spans="2:9" x14ac:dyDescent="0.25">
      <c r="B365" s="10"/>
      <c r="C365" s="10"/>
      <c r="D365" s="18">
        <v>348</v>
      </c>
      <c r="E365" s="21">
        <f t="shared" si="21"/>
        <v>13439979104</v>
      </c>
      <c r="F365" s="21">
        <f t="shared" si="22"/>
        <v>6921589238561</v>
      </c>
      <c r="G365" s="21">
        <f t="shared" si="23"/>
        <v>15281826593</v>
      </c>
      <c r="H365" s="22">
        <f t="shared" si="24"/>
        <v>0.44475969023187645</v>
      </c>
      <c r="I365" s="10"/>
    </row>
    <row r="366" spans="2:9" x14ac:dyDescent="0.25">
      <c r="B366" s="10"/>
      <c r="C366" s="10"/>
      <c r="D366" s="18">
        <v>349</v>
      </c>
      <c r="E366" s="21">
        <f t="shared" si="21"/>
        <v>15281826593</v>
      </c>
      <c r="F366" s="21">
        <f t="shared" si="22"/>
        <v>7870140695396</v>
      </c>
      <c r="G366" s="21">
        <f t="shared" si="23"/>
        <v>1760609124</v>
      </c>
      <c r="H366" s="22">
        <f t="shared" si="24"/>
        <v>5.1240469445474446E-2</v>
      </c>
      <c r="I366" s="10"/>
    </row>
    <row r="367" spans="2:9" x14ac:dyDescent="0.25">
      <c r="B367" s="10"/>
      <c r="C367" s="10"/>
      <c r="D367" s="18">
        <v>350</v>
      </c>
      <c r="E367" s="21">
        <f t="shared" si="21"/>
        <v>1760609124</v>
      </c>
      <c r="F367" s="21">
        <f t="shared" si="22"/>
        <v>906713698861</v>
      </c>
      <c r="G367" s="21">
        <f t="shared" si="23"/>
        <v>13360501293</v>
      </c>
      <c r="H367" s="22">
        <f t="shared" si="24"/>
        <v>0.38884176444844343</v>
      </c>
      <c r="I367" s="10"/>
    </row>
    <row r="368" spans="2:9" x14ac:dyDescent="0.25">
      <c r="B368" s="10"/>
      <c r="C368" s="10"/>
      <c r="D368" s="18">
        <v>351</v>
      </c>
      <c r="E368" s="21">
        <f t="shared" si="21"/>
        <v>13360501293</v>
      </c>
      <c r="F368" s="21">
        <f t="shared" si="22"/>
        <v>6880658165896</v>
      </c>
      <c r="G368" s="21">
        <f t="shared" si="23"/>
        <v>8710492296</v>
      </c>
      <c r="H368" s="22">
        <f t="shared" si="24"/>
        <v>0.25350869097746909</v>
      </c>
      <c r="I368" s="10"/>
    </row>
    <row r="369" spans="2:9" x14ac:dyDescent="0.25">
      <c r="B369" s="10"/>
      <c r="C369" s="10"/>
      <c r="D369" s="18">
        <v>352</v>
      </c>
      <c r="E369" s="21">
        <f t="shared" si="21"/>
        <v>8710492296</v>
      </c>
      <c r="F369" s="21">
        <f t="shared" si="22"/>
        <v>4485903532441</v>
      </c>
      <c r="G369" s="21">
        <f t="shared" si="23"/>
        <v>19137544601</v>
      </c>
      <c r="H369" s="22">
        <f t="shared" si="24"/>
        <v>0.55697585342568345</v>
      </c>
      <c r="I369" s="10"/>
    </row>
    <row r="370" spans="2:9" x14ac:dyDescent="0.25">
      <c r="B370" s="10"/>
      <c r="C370" s="10"/>
      <c r="D370" s="18">
        <v>353</v>
      </c>
      <c r="E370" s="21">
        <f t="shared" si="21"/>
        <v>19137544601</v>
      </c>
      <c r="F370" s="21">
        <f t="shared" si="22"/>
        <v>9855835469516</v>
      </c>
      <c r="G370" s="21">
        <f t="shared" si="23"/>
        <v>28950296268</v>
      </c>
      <c r="H370" s="22">
        <f t="shared" si="24"/>
        <v>0.84256451425608248</v>
      </c>
      <c r="I370" s="10"/>
    </row>
    <row r="371" spans="2:9" x14ac:dyDescent="0.25">
      <c r="B371" s="10"/>
      <c r="C371" s="10"/>
      <c r="D371" s="18">
        <v>354</v>
      </c>
      <c r="E371" s="21">
        <f t="shared" si="21"/>
        <v>28950296268</v>
      </c>
      <c r="F371" s="21">
        <f t="shared" si="22"/>
        <v>14909402578021</v>
      </c>
      <c r="G371" s="21">
        <f t="shared" si="23"/>
        <v>31635864677</v>
      </c>
      <c r="H371" s="22">
        <f t="shared" si="24"/>
        <v>0.92072484191157855</v>
      </c>
      <c r="I371" s="10"/>
    </row>
    <row r="372" spans="2:9" x14ac:dyDescent="0.25">
      <c r="B372" s="10"/>
      <c r="C372" s="10"/>
      <c r="D372" s="18">
        <v>355</v>
      </c>
      <c r="E372" s="21">
        <f t="shared" si="21"/>
        <v>31635864677</v>
      </c>
      <c r="F372" s="21">
        <f t="shared" si="22"/>
        <v>16292470308656</v>
      </c>
      <c r="G372" s="21">
        <f t="shared" si="23"/>
        <v>5954322224</v>
      </c>
      <c r="H372" s="22">
        <f t="shared" si="24"/>
        <v>0.17329358449205756</v>
      </c>
      <c r="I372" s="10"/>
    </row>
    <row r="373" spans="2:9" x14ac:dyDescent="0.25">
      <c r="B373" s="10"/>
      <c r="C373" s="10"/>
      <c r="D373" s="18">
        <v>356</v>
      </c>
      <c r="E373" s="21">
        <f t="shared" si="21"/>
        <v>5954322224</v>
      </c>
      <c r="F373" s="21">
        <f t="shared" si="22"/>
        <v>3066475945361</v>
      </c>
      <c r="G373" s="21">
        <f t="shared" si="23"/>
        <v>8459230609</v>
      </c>
      <c r="H373" s="22">
        <f t="shared" si="24"/>
        <v>0.2461960134387482</v>
      </c>
      <c r="I373" s="10"/>
    </row>
    <row r="374" spans="2:9" x14ac:dyDescent="0.25">
      <c r="B374" s="10"/>
      <c r="C374" s="10"/>
      <c r="D374" s="18">
        <v>357</v>
      </c>
      <c r="E374" s="21">
        <f t="shared" ref="E374:E437" si="25">G373</f>
        <v>8459230609</v>
      </c>
      <c r="F374" s="21">
        <f t="shared" si="22"/>
        <v>4356503763636</v>
      </c>
      <c r="G374" s="21">
        <f t="shared" si="23"/>
        <v>27176729268</v>
      </c>
      <c r="H374" s="22">
        <f t="shared" si="24"/>
        <v>0.79094692098442465</v>
      </c>
      <c r="I374" s="10"/>
    </row>
    <row r="375" spans="2:9" x14ac:dyDescent="0.25">
      <c r="B375" s="10"/>
      <c r="C375" s="10"/>
      <c r="D375" s="18">
        <v>358</v>
      </c>
      <c r="E375" s="21">
        <f t="shared" si="25"/>
        <v>27176729268</v>
      </c>
      <c r="F375" s="21">
        <f t="shared" si="22"/>
        <v>13996015573021</v>
      </c>
      <c r="G375" s="21">
        <f t="shared" si="23"/>
        <v>11602057245</v>
      </c>
      <c r="H375" s="22">
        <f t="shared" si="24"/>
        <v>0.33766430700779893</v>
      </c>
      <c r="I375" s="10"/>
    </row>
    <row r="376" spans="2:9" x14ac:dyDescent="0.25">
      <c r="B376" s="10"/>
      <c r="C376" s="10"/>
      <c r="D376" s="18">
        <v>359</v>
      </c>
      <c r="E376" s="21">
        <f t="shared" si="25"/>
        <v>11602057245</v>
      </c>
      <c r="F376" s="21">
        <f t="shared" si="22"/>
        <v>5975059481176</v>
      </c>
      <c r="G376" s="21">
        <f t="shared" si="23"/>
        <v>30824743512</v>
      </c>
      <c r="H376" s="22">
        <f t="shared" si="24"/>
        <v>0.89711810904555023</v>
      </c>
      <c r="I376" s="10"/>
    </row>
    <row r="377" spans="2:9" x14ac:dyDescent="0.25">
      <c r="B377" s="10"/>
      <c r="C377" s="10"/>
      <c r="D377" s="18">
        <v>360</v>
      </c>
      <c r="E377" s="21">
        <f t="shared" si="25"/>
        <v>30824743512</v>
      </c>
      <c r="F377" s="21">
        <f t="shared" si="22"/>
        <v>15874742908681</v>
      </c>
      <c r="G377" s="21">
        <f t="shared" si="23"/>
        <v>543782665</v>
      </c>
      <c r="H377" s="22">
        <f t="shared" si="24"/>
        <v>1.5826158487470821E-2</v>
      </c>
      <c r="I377" s="10"/>
    </row>
    <row r="378" spans="2:9" x14ac:dyDescent="0.25">
      <c r="B378" s="10"/>
      <c r="C378" s="10"/>
      <c r="D378" s="18">
        <v>361</v>
      </c>
      <c r="E378" s="21">
        <f t="shared" si="25"/>
        <v>543782665</v>
      </c>
      <c r="F378" s="21">
        <f t="shared" si="22"/>
        <v>280048072476</v>
      </c>
      <c r="G378" s="21">
        <f t="shared" si="23"/>
        <v>5170165532</v>
      </c>
      <c r="H378" s="22">
        <f t="shared" si="24"/>
        <v>0.15047162107657641</v>
      </c>
      <c r="I378" s="10"/>
    </row>
    <row r="379" spans="2:9" x14ac:dyDescent="0.25">
      <c r="B379" s="10"/>
      <c r="C379" s="10"/>
      <c r="D379" s="18">
        <v>362</v>
      </c>
      <c r="E379" s="21">
        <f t="shared" si="25"/>
        <v>5170165532</v>
      </c>
      <c r="F379" s="21">
        <f t="shared" si="22"/>
        <v>2662635248981</v>
      </c>
      <c r="G379" s="21">
        <f t="shared" si="23"/>
        <v>16935394645</v>
      </c>
      <c r="H379" s="22">
        <f t="shared" si="24"/>
        <v>0.49288485446595587</v>
      </c>
      <c r="I379" s="10"/>
    </row>
    <row r="380" spans="2:9" x14ac:dyDescent="0.25">
      <c r="B380" s="10"/>
      <c r="C380" s="10"/>
      <c r="D380" s="18">
        <v>363</v>
      </c>
      <c r="E380" s="21">
        <f t="shared" si="25"/>
        <v>16935394645</v>
      </c>
      <c r="F380" s="21">
        <f t="shared" si="22"/>
        <v>8721728242176</v>
      </c>
      <c r="G380" s="21">
        <f t="shared" si="23"/>
        <v>28714435072</v>
      </c>
      <c r="H380" s="22">
        <f t="shared" si="24"/>
        <v>0.83570004999637604</v>
      </c>
      <c r="I380" s="10"/>
    </row>
    <row r="381" spans="2:9" x14ac:dyDescent="0.25">
      <c r="B381" s="10"/>
      <c r="C381" s="10"/>
      <c r="D381" s="18">
        <v>364</v>
      </c>
      <c r="E381" s="21">
        <f t="shared" si="25"/>
        <v>28714435072</v>
      </c>
      <c r="F381" s="21">
        <f t="shared" si="22"/>
        <v>14787934062081</v>
      </c>
      <c r="G381" s="21">
        <f t="shared" si="23"/>
        <v>13246563841</v>
      </c>
      <c r="H381" s="22">
        <f t="shared" si="24"/>
        <v>0.38552574816276319</v>
      </c>
      <c r="I381" s="10"/>
    </row>
    <row r="382" spans="2:9" x14ac:dyDescent="0.25">
      <c r="B382" s="10"/>
      <c r="C382" s="10"/>
      <c r="D382" s="18">
        <v>365</v>
      </c>
      <c r="E382" s="21">
        <f t="shared" si="25"/>
        <v>13246563841</v>
      </c>
      <c r="F382" s="21">
        <f t="shared" si="22"/>
        <v>6821980378116</v>
      </c>
      <c r="G382" s="21">
        <f t="shared" si="23"/>
        <v>18752181252</v>
      </c>
      <c r="H382" s="22">
        <f t="shared" si="24"/>
        <v>0.54576030385214835</v>
      </c>
      <c r="I382" s="10"/>
    </row>
    <row r="383" spans="2:9" x14ac:dyDescent="0.25">
      <c r="B383" s="10"/>
      <c r="C383" s="10"/>
      <c r="D383" s="18">
        <v>366</v>
      </c>
      <c r="E383" s="21">
        <f t="shared" si="25"/>
        <v>18752181252</v>
      </c>
      <c r="F383" s="21">
        <f t="shared" si="22"/>
        <v>9657373344781</v>
      </c>
      <c r="G383" s="21">
        <f t="shared" si="23"/>
        <v>2286863373</v>
      </c>
      <c r="H383" s="22">
        <f t="shared" si="24"/>
        <v>6.6556483885506168E-2</v>
      </c>
      <c r="I383" s="10"/>
    </row>
    <row r="384" spans="2:9" x14ac:dyDescent="0.25">
      <c r="B384" s="10"/>
      <c r="C384" s="10"/>
      <c r="D384" s="18">
        <v>367</v>
      </c>
      <c r="E384" s="21">
        <f t="shared" si="25"/>
        <v>2286863373</v>
      </c>
      <c r="F384" s="21">
        <f t="shared" si="22"/>
        <v>1177734637096</v>
      </c>
      <c r="G384" s="21">
        <f t="shared" si="23"/>
        <v>9503532584</v>
      </c>
      <c r="H384" s="22">
        <f t="shared" si="24"/>
        <v>0.27658920106478035</v>
      </c>
      <c r="I384" s="10"/>
    </row>
    <row r="385" spans="2:9" x14ac:dyDescent="0.25">
      <c r="B385" s="10"/>
      <c r="C385" s="10"/>
      <c r="D385" s="18">
        <v>368</v>
      </c>
      <c r="E385" s="21">
        <f t="shared" si="25"/>
        <v>9503532584</v>
      </c>
      <c r="F385" s="21">
        <f t="shared" si="22"/>
        <v>4894319280761</v>
      </c>
      <c r="G385" s="21">
        <f t="shared" si="23"/>
        <v>15236432505</v>
      </c>
      <c r="H385" s="22">
        <f t="shared" si="24"/>
        <v>0.4434385483909864</v>
      </c>
      <c r="I385" s="10"/>
    </row>
    <row r="386" spans="2:9" x14ac:dyDescent="0.25">
      <c r="B386" s="10"/>
      <c r="C386" s="10"/>
      <c r="D386" s="18">
        <v>369</v>
      </c>
      <c r="E386" s="21">
        <f t="shared" si="25"/>
        <v>15236432505</v>
      </c>
      <c r="F386" s="21">
        <f t="shared" si="22"/>
        <v>7846762740076</v>
      </c>
      <c r="G386" s="21">
        <f t="shared" si="23"/>
        <v>12742392172</v>
      </c>
      <c r="H386" s="22">
        <f t="shared" si="24"/>
        <v>0.37085242138709873</v>
      </c>
      <c r="I386" s="10"/>
    </row>
    <row r="387" spans="2:9" x14ac:dyDescent="0.25">
      <c r="B387" s="10"/>
      <c r="C387" s="10"/>
      <c r="D387" s="18">
        <v>370</v>
      </c>
      <c r="E387" s="21">
        <f t="shared" si="25"/>
        <v>12742392172</v>
      </c>
      <c r="F387" s="21">
        <f t="shared" si="22"/>
        <v>6562331968581</v>
      </c>
      <c r="G387" s="21">
        <f t="shared" si="23"/>
        <v>33981678661</v>
      </c>
      <c r="H387" s="22">
        <f t="shared" si="24"/>
        <v>0.98899701438494958</v>
      </c>
      <c r="I387" s="10"/>
    </row>
    <row r="388" spans="2:9" x14ac:dyDescent="0.25">
      <c r="B388" s="10"/>
      <c r="C388" s="10"/>
      <c r="D388" s="18">
        <v>371</v>
      </c>
      <c r="E388" s="21">
        <f t="shared" si="25"/>
        <v>33981678661</v>
      </c>
      <c r="F388" s="21">
        <f t="shared" si="22"/>
        <v>17500564510416</v>
      </c>
      <c r="G388" s="21">
        <f t="shared" si="23"/>
        <v>11457681104</v>
      </c>
      <c r="H388" s="22">
        <f t="shared" si="24"/>
        <v>0.33346240827813745</v>
      </c>
      <c r="I388" s="10"/>
    </row>
    <row r="389" spans="2:9" x14ac:dyDescent="0.25">
      <c r="B389" s="10"/>
      <c r="C389" s="10"/>
      <c r="D389" s="18">
        <v>372</v>
      </c>
      <c r="E389" s="21">
        <f t="shared" si="25"/>
        <v>11457681104</v>
      </c>
      <c r="F389" s="21">
        <f t="shared" si="22"/>
        <v>5900705768561</v>
      </c>
      <c r="G389" s="21">
        <f t="shared" si="23"/>
        <v>25190507633</v>
      </c>
      <c r="H389" s="22">
        <f t="shared" si="24"/>
        <v>0.73314026326988824</v>
      </c>
      <c r="I389" s="10"/>
    </row>
    <row r="390" spans="2:9" x14ac:dyDescent="0.25">
      <c r="B390" s="10"/>
      <c r="C390" s="10"/>
      <c r="D390" s="18">
        <v>373</v>
      </c>
      <c r="E390" s="21">
        <f t="shared" si="25"/>
        <v>25190507633</v>
      </c>
      <c r="F390" s="21">
        <f t="shared" si="22"/>
        <v>12973111430996</v>
      </c>
      <c r="G390" s="21">
        <f t="shared" si="23"/>
        <v>19490066260</v>
      </c>
      <c r="H390" s="22">
        <f t="shared" si="24"/>
        <v>0.56723558402154595</v>
      </c>
      <c r="I390" s="10"/>
    </row>
    <row r="391" spans="2:9" x14ac:dyDescent="0.25">
      <c r="B391" s="10"/>
      <c r="C391" s="10"/>
      <c r="D391" s="18">
        <v>374</v>
      </c>
      <c r="E391" s="21">
        <f t="shared" si="25"/>
        <v>19490066260</v>
      </c>
      <c r="F391" s="21">
        <f t="shared" si="22"/>
        <v>10037384123901</v>
      </c>
      <c r="G391" s="21">
        <f t="shared" si="23"/>
        <v>4340520445</v>
      </c>
      <c r="H391" s="22">
        <f t="shared" si="24"/>
        <v>0.12632577112526633</v>
      </c>
      <c r="I391" s="10"/>
    </row>
    <row r="392" spans="2:9" x14ac:dyDescent="0.25">
      <c r="B392" s="10"/>
      <c r="C392" s="10"/>
      <c r="D392" s="18">
        <v>375</v>
      </c>
      <c r="E392" s="21">
        <f t="shared" si="25"/>
        <v>4340520445</v>
      </c>
      <c r="F392" s="21">
        <f t="shared" si="22"/>
        <v>2235368029176</v>
      </c>
      <c r="G392" s="21">
        <f t="shared" si="23"/>
        <v>1985035256</v>
      </c>
      <c r="H392" s="22">
        <f t="shared" si="24"/>
        <v>5.7772129541262984E-2</v>
      </c>
      <c r="I392" s="10"/>
    </row>
    <row r="393" spans="2:9" x14ac:dyDescent="0.25">
      <c r="B393" s="10"/>
      <c r="C393" s="10"/>
      <c r="D393" s="18">
        <v>376</v>
      </c>
      <c r="E393" s="21">
        <f t="shared" si="25"/>
        <v>1985035256</v>
      </c>
      <c r="F393" s="21">
        <f t="shared" si="22"/>
        <v>1022293156841</v>
      </c>
      <c r="G393" s="21">
        <f t="shared" si="23"/>
        <v>25860744169</v>
      </c>
      <c r="H393" s="22">
        <f t="shared" si="24"/>
        <v>0.75264671377954073</v>
      </c>
      <c r="I393" s="10"/>
    </row>
    <row r="394" spans="2:9" x14ac:dyDescent="0.25">
      <c r="B394" s="10"/>
      <c r="C394" s="10"/>
      <c r="D394" s="18">
        <v>377</v>
      </c>
      <c r="E394" s="21">
        <f t="shared" si="25"/>
        <v>25860744169</v>
      </c>
      <c r="F394" s="21">
        <f t="shared" si="22"/>
        <v>13318283247036</v>
      </c>
      <c r="G394" s="21">
        <f t="shared" si="23"/>
        <v>21064498620</v>
      </c>
      <c r="H394" s="22">
        <f t="shared" si="24"/>
        <v>0.61305759649258107</v>
      </c>
      <c r="I394" s="10"/>
    </row>
    <row r="395" spans="2:9" x14ac:dyDescent="0.25">
      <c r="B395" s="10"/>
      <c r="C395" s="10"/>
      <c r="D395" s="18">
        <v>378</v>
      </c>
      <c r="E395" s="21">
        <f t="shared" si="25"/>
        <v>21064498620</v>
      </c>
      <c r="F395" s="21">
        <f t="shared" si="22"/>
        <v>10848216789301</v>
      </c>
      <c r="G395" s="21">
        <f t="shared" si="23"/>
        <v>24899203381</v>
      </c>
      <c r="H395" s="22">
        <f t="shared" si="24"/>
        <v>0.72466219370835461</v>
      </c>
      <c r="I395" s="10"/>
    </row>
    <row r="396" spans="2:9" x14ac:dyDescent="0.25">
      <c r="B396" s="10"/>
      <c r="C396" s="10"/>
      <c r="D396" s="18">
        <v>379</v>
      </c>
      <c r="E396" s="21">
        <f t="shared" si="25"/>
        <v>24899203381</v>
      </c>
      <c r="F396" s="21">
        <f t="shared" si="22"/>
        <v>12823089741216</v>
      </c>
      <c r="G396" s="21">
        <f t="shared" si="23"/>
        <v>6907329952</v>
      </c>
      <c r="H396" s="22">
        <f t="shared" si="24"/>
        <v>0.20102975983172655</v>
      </c>
      <c r="I396" s="10"/>
    </row>
    <row r="397" spans="2:9" x14ac:dyDescent="0.25">
      <c r="B397" s="10"/>
      <c r="C397" s="10"/>
      <c r="D397" s="18">
        <v>380</v>
      </c>
      <c r="E397" s="21">
        <f t="shared" si="25"/>
        <v>6907329952</v>
      </c>
      <c r="F397" s="21">
        <f t="shared" si="22"/>
        <v>3557274925281</v>
      </c>
      <c r="G397" s="21">
        <f t="shared" si="23"/>
        <v>18221873377</v>
      </c>
      <c r="H397" s="22">
        <f t="shared" si="24"/>
        <v>0.53032631336827762</v>
      </c>
      <c r="I397" s="10"/>
    </row>
    <row r="398" spans="2:9" x14ac:dyDescent="0.25">
      <c r="B398" s="10"/>
      <c r="C398" s="10"/>
      <c r="D398" s="18">
        <v>381</v>
      </c>
      <c r="E398" s="21">
        <f t="shared" si="25"/>
        <v>18221873377</v>
      </c>
      <c r="F398" s="21">
        <f t="shared" si="22"/>
        <v>9384264789156</v>
      </c>
      <c r="G398" s="21">
        <f t="shared" si="23"/>
        <v>4056214692</v>
      </c>
      <c r="H398" s="22">
        <f t="shared" si="24"/>
        <v>0.11805138469208032</v>
      </c>
      <c r="I398" s="10"/>
    </row>
    <row r="399" spans="2:9" x14ac:dyDescent="0.25">
      <c r="B399" s="10"/>
      <c r="C399" s="10"/>
      <c r="D399" s="18">
        <v>382</v>
      </c>
      <c r="E399" s="21">
        <f t="shared" si="25"/>
        <v>4056214692</v>
      </c>
      <c r="F399" s="21">
        <f t="shared" si="22"/>
        <v>2088950566381</v>
      </c>
      <c r="G399" s="21">
        <f t="shared" si="23"/>
        <v>27366264301</v>
      </c>
      <c r="H399" s="22">
        <f t="shared" si="24"/>
        <v>0.79646311645046808</v>
      </c>
      <c r="I399" s="10"/>
    </row>
    <row r="400" spans="2:9" x14ac:dyDescent="0.25">
      <c r="B400" s="10"/>
      <c r="C400" s="10"/>
      <c r="D400" s="18">
        <v>383</v>
      </c>
      <c r="E400" s="21">
        <f t="shared" si="25"/>
        <v>27366264301</v>
      </c>
      <c r="F400" s="21">
        <f t="shared" si="22"/>
        <v>14093626115016</v>
      </c>
      <c r="G400" s="21">
        <f t="shared" si="23"/>
        <v>6133384136</v>
      </c>
      <c r="H400" s="22">
        <f t="shared" si="24"/>
        <v>0.17850497202016413</v>
      </c>
      <c r="I400" s="10"/>
    </row>
    <row r="401" spans="2:9" x14ac:dyDescent="0.25">
      <c r="B401" s="10"/>
      <c r="C401" s="10"/>
      <c r="D401" s="18">
        <v>384</v>
      </c>
      <c r="E401" s="21">
        <f t="shared" si="25"/>
        <v>6133384136</v>
      </c>
      <c r="F401" s="21">
        <f t="shared" si="22"/>
        <v>3158692830041</v>
      </c>
      <c r="G401" s="21">
        <f t="shared" si="23"/>
        <v>31956638553</v>
      </c>
      <c r="H401" s="22">
        <f t="shared" si="24"/>
        <v>0.93006059041363187</v>
      </c>
      <c r="I401" s="10"/>
    </row>
    <row r="402" spans="2:9" x14ac:dyDescent="0.25">
      <c r="B402" s="10"/>
      <c r="C402" s="10"/>
      <c r="D402" s="18">
        <v>385</v>
      </c>
      <c r="E402" s="21">
        <f t="shared" si="25"/>
        <v>31956638553</v>
      </c>
      <c r="F402" s="21">
        <f t="shared" si="22"/>
        <v>16457668854796</v>
      </c>
      <c r="G402" s="21">
        <f t="shared" si="23"/>
        <v>33713914892</v>
      </c>
      <c r="H402" s="22">
        <f t="shared" si="24"/>
        <v>0.98120406304951757</v>
      </c>
      <c r="I402" s="10"/>
    </row>
    <row r="403" spans="2:9" x14ac:dyDescent="0.25">
      <c r="B403" s="10"/>
      <c r="C403" s="10"/>
      <c r="D403" s="18">
        <v>386</v>
      </c>
      <c r="E403" s="21">
        <f t="shared" si="25"/>
        <v>33713914892</v>
      </c>
      <c r="F403" s="21">
        <f t="shared" ref="F403:F466" si="26">E$7 * E403 + H$7</f>
        <v>17362666169381</v>
      </c>
      <c r="G403" s="21">
        <f t="shared" ref="G403:G466" si="27">MOD(F403,F$7)</f>
        <v>10998293541</v>
      </c>
      <c r="H403" s="22">
        <f t="shared" ref="H403:H466" si="28">G403/F$7</f>
        <v>0.32009247053065337</v>
      </c>
      <c r="I403" s="10"/>
    </row>
    <row r="404" spans="2:9" x14ac:dyDescent="0.25">
      <c r="B404" s="10"/>
      <c r="C404" s="10"/>
      <c r="D404" s="18">
        <v>387</v>
      </c>
      <c r="E404" s="21">
        <f t="shared" si="25"/>
        <v>10998293541</v>
      </c>
      <c r="F404" s="21">
        <f t="shared" si="26"/>
        <v>5664121173616</v>
      </c>
      <c r="G404" s="21">
        <f t="shared" si="27"/>
        <v>29124081264</v>
      </c>
      <c r="H404" s="22">
        <f t="shared" si="28"/>
        <v>0.84762232331559062</v>
      </c>
      <c r="I404" s="10"/>
    </row>
    <row r="405" spans="2:9" x14ac:dyDescent="0.25">
      <c r="B405" s="10"/>
      <c r="C405" s="10"/>
      <c r="D405" s="18">
        <v>388</v>
      </c>
      <c r="E405" s="21">
        <f t="shared" si="25"/>
        <v>29124081264</v>
      </c>
      <c r="F405" s="21">
        <f t="shared" si="26"/>
        <v>14998901850961</v>
      </c>
      <c r="G405" s="21">
        <f t="shared" si="27"/>
        <v>18055922513</v>
      </c>
      <c r="H405" s="22">
        <f t="shared" si="28"/>
        <v>0.52549650755827315</v>
      </c>
      <c r="I405" s="10"/>
    </row>
    <row r="406" spans="2:9" x14ac:dyDescent="0.25">
      <c r="B406" s="10"/>
      <c r="C406" s="10"/>
      <c r="D406" s="18">
        <v>389</v>
      </c>
      <c r="E406" s="21">
        <f t="shared" si="25"/>
        <v>18055922513</v>
      </c>
      <c r="F406" s="21">
        <f t="shared" si="26"/>
        <v>9298800094196</v>
      </c>
      <c r="G406" s="21">
        <f t="shared" si="27"/>
        <v>21670734836</v>
      </c>
      <c r="H406" s="22">
        <f t="shared" si="28"/>
        <v>0.63070139253977686</v>
      </c>
      <c r="I406" s="10"/>
    </row>
    <row r="407" spans="2:9" x14ac:dyDescent="0.25">
      <c r="B407" s="10"/>
      <c r="C407" s="10"/>
      <c r="D407" s="18">
        <v>390</v>
      </c>
      <c r="E407" s="21">
        <f t="shared" si="25"/>
        <v>21670734836</v>
      </c>
      <c r="F407" s="21">
        <f t="shared" si="26"/>
        <v>11160428440541</v>
      </c>
      <c r="G407" s="21">
        <f t="shared" si="27"/>
        <v>27873209309</v>
      </c>
      <c r="H407" s="22">
        <f t="shared" si="28"/>
        <v>0.81121715801418759</v>
      </c>
      <c r="I407" s="10"/>
    </row>
    <row r="408" spans="2:9" x14ac:dyDescent="0.25">
      <c r="B408" s="10"/>
      <c r="C408" s="10"/>
      <c r="D408" s="18">
        <v>391</v>
      </c>
      <c r="E408" s="21">
        <f t="shared" si="25"/>
        <v>27873209309</v>
      </c>
      <c r="F408" s="21">
        <f t="shared" si="26"/>
        <v>14354702794136</v>
      </c>
      <c r="G408" s="21">
        <f t="shared" si="27"/>
        <v>26691894680</v>
      </c>
      <c r="H408" s="22">
        <f t="shared" si="28"/>
        <v>0.77683637733571231</v>
      </c>
      <c r="I408" s="10"/>
    </row>
    <row r="409" spans="2:9" x14ac:dyDescent="0.25">
      <c r="B409" s="10"/>
      <c r="C409" s="10"/>
      <c r="D409" s="18">
        <v>392</v>
      </c>
      <c r="E409" s="21">
        <f t="shared" si="25"/>
        <v>26691894680</v>
      </c>
      <c r="F409" s="21">
        <f t="shared" si="26"/>
        <v>13746325760201</v>
      </c>
      <c r="G409" s="21">
        <f t="shared" si="27"/>
        <v>2430413001</v>
      </c>
      <c r="H409" s="22">
        <f t="shared" si="28"/>
        <v>7.0734327920945361E-2</v>
      </c>
      <c r="I409" s="10"/>
    </row>
    <row r="410" spans="2:9" x14ac:dyDescent="0.25">
      <c r="B410" s="10"/>
      <c r="C410" s="10"/>
      <c r="D410" s="18">
        <v>393</v>
      </c>
      <c r="E410" s="21">
        <f t="shared" si="25"/>
        <v>2430413001</v>
      </c>
      <c r="F410" s="21">
        <f t="shared" si="26"/>
        <v>1251662695516</v>
      </c>
      <c r="G410" s="21">
        <f t="shared" si="27"/>
        <v>14712114268</v>
      </c>
      <c r="H410" s="22">
        <f t="shared" si="28"/>
        <v>0.42817887931596488</v>
      </c>
      <c r="I410" s="10"/>
    </row>
    <row r="411" spans="2:9" x14ac:dyDescent="0.25">
      <c r="B411" s="10"/>
      <c r="C411" s="10"/>
      <c r="D411" s="18">
        <v>394</v>
      </c>
      <c r="E411" s="21">
        <f t="shared" si="25"/>
        <v>14712114268</v>
      </c>
      <c r="F411" s="21">
        <f t="shared" si="26"/>
        <v>7576738848021</v>
      </c>
      <c r="G411" s="21">
        <f t="shared" si="27"/>
        <v>17596407061</v>
      </c>
      <c r="H411" s="22">
        <f t="shared" si="28"/>
        <v>0.5121228477510158</v>
      </c>
      <c r="I411" s="10"/>
    </row>
    <row r="412" spans="2:9" x14ac:dyDescent="0.25">
      <c r="B412" s="10"/>
      <c r="C412" s="10"/>
      <c r="D412" s="18">
        <v>395</v>
      </c>
      <c r="E412" s="21">
        <f t="shared" si="25"/>
        <v>17596407061</v>
      </c>
      <c r="F412" s="21">
        <f t="shared" si="26"/>
        <v>9062149636416</v>
      </c>
      <c r="G412" s="21">
        <f t="shared" si="27"/>
        <v>25538445632</v>
      </c>
      <c r="H412" s="22">
        <f t="shared" si="28"/>
        <v>0.74326659180223942</v>
      </c>
      <c r="I412" s="10"/>
    </row>
    <row r="413" spans="2:9" x14ac:dyDescent="0.25">
      <c r="B413" s="10"/>
      <c r="C413" s="10"/>
      <c r="D413" s="18">
        <v>396</v>
      </c>
      <c r="E413" s="21">
        <f t="shared" si="25"/>
        <v>25538445632</v>
      </c>
      <c r="F413" s="21">
        <f t="shared" si="26"/>
        <v>13152299500481</v>
      </c>
      <c r="G413" s="21">
        <f t="shared" si="27"/>
        <v>26879443905</v>
      </c>
      <c r="H413" s="22">
        <f t="shared" si="28"/>
        <v>0.78229477818240412</v>
      </c>
      <c r="I413" s="10"/>
    </row>
    <row r="414" spans="2:9" x14ac:dyDescent="0.25">
      <c r="B414" s="10"/>
      <c r="C414" s="10"/>
      <c r="D414" s="18">
        <v>397</v>
      </c>
      <c r="E414" s="21">
        <f t="shared" si="25"/>
        <v>26879443905</v>
      </c>
      <c r="F414" s="21">
        <f t="shared" si="26"/>
        <v>13842913611076</v>
      </c>
      <c r="G414" s="21">
        <f t="shared" si="27"/>
        <v>30298787140</v>
      </c>
      <c r="H414" s="22">
        <f t="shared" si="28"/>
        <v>0.88181076396722347</v>
      </c>
      <c r="I414" s="10"/>
    </row>
    <row r="415" spans="2:9" x14ac:dyDescent="0.25">
      <c r="B415" s="10"/>
      <c r="C415" s="10"/>
      <c r="D415" s="18">
        <v>398</v>
      </c>
      <c r="E415" s="21">
        <f t="shared" si="25"/>
        <v>30298787140</v>
      </c>
      <c r="F415" s="21">
        <f t="shared" si="26"/>
        <v>15603875377101</v>
      </c>
      <c r="G415" s="21">
        <f t="shared" si="27"/>
        <v>4554158029</v>
      </c>
      <c r="H415" s="22">
        <f t="shared" si="28"/>
        <v>0.13254344314918853</v>
      </c>
      <c r="I415" s="10"/>
    </row>
    <row r="416" spans="2:9" x14ac:dyDescent="0.25">
      <c r="B416" s="10"/>
      <c r="C416" s="10"/>
      <c r="D416" s="18">
        <v>399</v>
      </c>
      <c r="E416" s="21">
        <f t="shared" si="25"/>
        <v>4554158029</v>
      </c>
      <c r="F416" s="21">
        <f t="shared" si="26"/>
        <v>2345391384936</v>
      </c>
      <c r="G416" s="21">
        <f t="shared" si="27"/>
        <v>8929175912</v>
      </c>
      <c r="H416" s="22">
        <f t="shared" si="28"/>
        <v>0.25987322186119854</v>
      </c>
      <c r="I416" s="10"/>
    </row>
    <row r="417" spans="2:9" x14ac:dyDescent="0.25">
      <c r="B417" s="10"/>
      <c r="C417" s="10"/>
      <c r="D417" s="18">
        <v>400</v>
      </c>
      <c r="E417" s="21">
        <f t="shared" si="25"/>
        <v>8929175912</v>
      </c>
      <c r="F417" s="21">
        <f t="shared" si="26"/>
        <v>4598525594681</v>
      </c>
      <c r="G417" s="21">
        <f t="shared" si="27"/>
        <v>28680391737</v>
      </c>
      <c r="H417" s="22">
        <f t="shared" si="28"/>
        <v>0.83470925854635425</v>
      </c>
      <c r="I417" s="10"/>
    </row>
    <row r="418" spans="2:9" x14ac:dyDescent="0.25">
      <c r="B418" s="10"/>
      <c r="C418" s="10"/>
      <c r="D418" s="18">
        <v>401</v>
      </c>
      <c r="E418" s="21">
        <f t="shared" si="25"/>
        <v>28680391737</v>
      </c>
      <c r="F418" s="21">
        <f t="shared" si="26"/>
        <v>14770401744556</v>
      </c>
      <c r="G418" s="21">
        <f t="shared" si="27"/>
        <v>30073984684</v>
      </c>
      <c r="H418" s="22">
        <f t="shared" si="28"/>
        <v>0.87526815140154213</v>
      </c>
      <c r="I418" s="10"/>
    </row>
    <row r="419" spans="2:9" x14ac:dyDescent="0.25">
      <c r="B419" s="10"/>
      <c r="C419" s="10"/>
      <c r="D419" s="18">
        <v>402</v>
      </c>
      <c r="E419" s="21">
        <f t="shared" si="25"/>
        <v>30073984684</v>
      </c>
      <c r="F419" s="21">
        <f t="shared" si="26"/>
        <v>15488102112261</v>
      </c>
      <c r="G419" s="21">
        <f t="shared" si="27"/>
        <v>26219846661</v>
      </c>
      <c r="H419" s="22">
        <f t="shared" si="28"/>
        <v>0.7630979718232993</v>
      </c>
      <c r="I419" s="10"/>
    </row>
    <row r="420" spans="2:9" x14ac:dyDescent="0.25">
      <c r="B420" s="10"/>
      <c r="C420" s="10"/>
      <c r="D420" s="18">
        <v>403</v>
      </c>
      <c r="E420" s="21">
        <f t="shared" si="25"/>
        <v>26219846661</v>
      </c>
      <c r="F420" s="21">
        <f t="shared" si="26"/>
        <v>13503221030416</v>
      </c>
      <c r="G420" s="21">
        <f t="shared" si="27"/>
        <v>34203590160</v>
      </c>
      <c r="H420" s="22">
        <f t="shared" si="28"/>
        <v>0.99545548902824521</v>
      </c>
      <c r="I420" s="10"/>
    </row>
    <row r="421" spans="2:9" x14ac:dyDescent="0.25">
      <c r="B421" s="10"/>
      <c r="C421" s="10"/>
      <c r="D421" s="18">
        <v>404</v>
      </c>
      <c r="E421" s="21">
        <f t="shared" si="25"/>
        <v>34203590160</v>
      </c>
      <c r="F421" s="21">
        <f t="shared" si="26"/>
        <v>17614848932401</v>
      </c>
      <c r="G421" s="21">
        <f t="shared" si="27"/>
        <v>22662887985</v>
      </c>
      <c r="H421" s="22">
        <f t="shared" si="28"/>
        <v>0.65957684957538731</v>
      </c>
      <c r="I421" s="10"/>
    </row>
    <row r="422" spans="2:9" x14ac:dyDescent="0.25">
      <c r="B422" s="10"/>
      <c r="C422" s="10"/>
      <c r="D422" s="18">
        <v>405</v>
      </c>
      <c r="E422" s="21">
        <f t="shared" si="25"/>
        <v>22662887985</v>
      </c>
      <c r="F422" s="21">
        <f t="shared" si="26"/>
        <v>11671387312276</v>
      </c>
      <c r="G422" s="21">
        <f t="shared" si="27"/>
        <v>23436005524</v>
      </c>
      <c r="H422" s="22">
        <f t="shared" si="28"/>
        <v>0.68207753135357052</v>
      </c>
      <c r="I422" s="10"/>
    </row>
    <row r="423" spans="2:9" x14ac:dyDescent="0.25">
      <c r="B423" s="10"/>
      <c r="C423" s="10"/>
      <c r="D423" s="18">
        <v>406</v>
      </c>
      <c r="E423" s="21">
        <f t="shared" si="25"/>
        <v>23436005524</v>
      </c>
      <c r="F423" s="21">
        <f t="shared" si="26"/>
        <v>12069542844861</v>
      </c>
      <c r="G423" s="21">
        <f t="shared" si="27"/>
        <v>9274677693</v>
      </c>
      <c r="H423" s="22">
        <f t="shared" si="28"/>
        <v>0.26992864711792208</v>
      </c>
      <c r="I423" s="10"/>
    </row>
    <row r="424" spans="2:9" x14ac:dyDescent="0.25">
      <c r="B424" s="10"/>
      <c r="C424" s="10"/>
      <c r="D424" s="18">
        <v>407</v>
      </c>
      <c r="E424" s="21">
        <f t="shared" si="25"/>
        <v>9274677693</v>
      </c>
      <c r="F424" s="21">
        <f t="shared" si="26"/>
        <v>4776459011896</v>
      </c>
      <c r="G424" s="21">
        <f t="shared" si="27"/>
        <v>455378744</v>
      </c>
      <c r="H424" s="22">
        <f t="shared" si="28"/>
        <v>1.325326575897634E-2</v>
      </c>
      <c r="I424" s="10"/>
    </row>
    <row r="425" spans="2:9" x14ac:dyDescent="0.25">
      <c r="B425" s="10"/>
      <c r="C425" s="10"/>
      <c r="D425" s="18">
        <v>408</v>
      </c>
      <c r="E425" s="21">
        <f t="shared" si="25"/>
        <v>455378744</v>
      </c>
      <c r="F425" s="21">
        <f t="shared" si="26"/>
        <v>234520053161</v>
      </c>
      <c r="G425" s="21">
        <f t="shared" si="27"/>
        <v>28361622953</v>
      </c>
      <c r="H425" s="22">
        <f t="shared" si="28"/>
        <v>0.82543186590191908</v>
      </c>
      <c r="I425" s="10"/>
    </row>
    <row r="426" spans="2:9" x14ac:dyDescent="0.25">
      <c r="B426" s="10"/>
      <c r="C426" s="10"/>
      <c r="D426" s="18">
        <v>409</v>
      </c>
      <c r="E426" s="21">
        <f t="shared" si="25"/>
        <v>28361622953</v>
      </c>
      <c r="F426" s="21">
        <f t="shared" si="26"/>
        <v>14606235820796</v>
      </c>
      <c r="G426" s="21">
        <f t="shared" si="27"/>
        <v>3347014396</v>
      </c>
      <c r="H426" s="22">
        <f t="shared" si="28"/>
        <v>9.7410939517430961E-2</v>
      </c>
      <c r="I426" s="10"/>
    </row>
    <row r="427" spans="2:9" x14ac:dyDescent="0.25">
      <c r="B427" s="10"/>
      <c r="C427" s="10"/>
      <c r="D427" s="18">
        <v>410</v>
      </c>
      <c r="E427" s="21">
        <f t="shared" si="25"/>
        <v>3347014396</v>
      </c>
      <c r="F427" s="21">
        <f t="shared" si="26"/>
        <v>1723712413941</v>
      </c>
      <c r="G427" s="21">
        <f t="shared" si="27"/>
        <v>5725495541</v>
      </c>
      <c r="H427" s="22">
        <f t="shared" si="28"/>
        <v>0.16663385150604881</v>
      </c>
      <c r="I427" s="10"/>
    </row>
    <row r="428" spans="2:9" x14ac:dyDescent="0.25">
      <c r="B428" s="10"/>
      <c r="C428" s="10"/>
      <c r="D428" s="18">
        <v>411</v>
      </c>
      <c r="E428" s="21">
        <f t="shared" si="25"/>
        <v>5725495541</v>
      </c>
      <c r="F428" s="21">
        <f t="shared" si="26"/>
        <v>2948630203616</v>
      </c>
      <c r="G428" s="21">
        <f t="shared" si="27"/>
        <v>28052442336</v>
      </c>
      <c r="H428" s="22">
        <f t="shared" si="28"/>
        <v>0.81643352564424276</v>
      </c>
      <c r="I428" s="10"/>
    </row>
    <row r="429" spans="2:9" x14ac:dyDescent="0.25">
      <c r="B429" s="10"/>
      <c r="C429" s="10"/>
      <c r="D429" s="18">
        <v>412</v>
      </c>
      <c r="E429" s="21">
        <f t="shared" si="25"/>
        <v>28052442336</v>
      </c>
      <c r="F429" s="21">
        <f t="shared" si="26"/>
        <v>14447007803041</v>
      </c>
      <c r="G429" s="21">
        <f t="shared" si="27"/>
        <v>15917688481</v>
      </c>
      <c r="H429" s="22">
        <f t="shared" si="28"/>
        <v>0.46326570681412704</v>
      </c>
      <c r="I429" s="10"/>
    </row>
    <row r="430" spans="2:9" x14ac:dyDescent="0.25">
      <c r="B430" s="10"/>
      <c r="C430" s="10"/>
      <c r="D430" s="18">
        <v>413</v>
      </c>
      <c r="E430" s="21">
        <f t="shared" si="25"/>
        <v>15917688481</v>
      </c>
      <c r="F430" s="21">
        <f t="shared" si="26"/>
        <v>8197609567716</v>
      </c>
      <c r="G430" s="21">
        <f t="shared" si="27"/>
        <v>19991836132</v>
      </c>
      <c r="H430" s="22">
        <f t="shared" si="28"/>
        <v>0.58183900930453092</v>
      </c>
      <c r="I430" s="10"/>
    </row>
    <row r="431" spans="2:9" x14ac:dyDescent="0.25">
      <c r="B431" s="10"/>
      <c r="C431" s="10"/>
      <c r="D431" s="18">
        <v>414</v>
      </c>
      <c r="E431" s="21">
        <f t="shared" si="25"/>
        <v>19991836132</v>
      </c>
      <c r="F431" s="21">
        <f t="shared" si="26"/>
        <v>10295795607981</v>
      </c>
      <c r="G431" s="21">
        <f t="shared" si="27"/>
        <v>22233835949</v>
      </c>
      <c r="H431" s="22">
        <f t="shared" si="28"/>
        <v>0.64708979186252691</v>
      </c>
      <c r="I431" s="10"/>
    </row>
    <row r="432" spans="2:9" x14ac:dyDescent="0.25">
      <c r="B432" s="10"/>
      <c r="C432" s="10"/>
      <c r="D432" s="18">
        <v>415</v>
      </c>
      <c r="E432" s="21">
        <f t="shared" si="25"/>
        <v>22233835949</v>
      </c>
      <c r="F432" s="21">
        <f t="shared" si="26"/>
        <v>11450425513736</v>
      </c>
      <c r="G432" s="21">
        <f t="shared" si="27"/>
        <v>8632637192</v>
      </c>
      <c r="H432" s="22">
        <f t="shared" si="28"/>
        <v>0.25124280923046172</v>
      </c>
      <c r="I432" s="10"/>
    </row>
    <row r="433" spans="2:9" x14ac:dyDescent="0.25">
      <c r="B433" s="10"/>
      <c r="C433" s="10"/>
      <c r="D433" s="18">
        <v>416</v>
      </c>
      <c r="E433" s="21">
        <f t="shared" si="25"/>
        <v>8632637192</v>
      </c>
      <c r="F433" s="21">
        <f t="shared" si="26"/>
        <v>4445808153881</v>
      </c>
      <c r="G433" s="21">
        <f t="shared" si="27"/>
        <v>13401904409</v>
      </c>
      <c r="H433" s="22">
        <f t="shared" si="28"/>
        <v>0.39004675371688791</v>
      </c>
      <c r="I433" s="10"/>
    </row>
    <row r="434" spans="2:9" x14ac:dyDescent="0.25">
      <c r="B434" s="10"/>
      <c r="C434" s="10"/>
      <c r="D434" s="18">
        <v>417</v>
      </c>
      <c r="E434" s="21">
        <f t="shared" si="25"/>
        <v>13401904409</v>
      </c>
      <c r="F434" s="21">
        <f t="shared" si="26"/>
        <v>6901980770636</v>
      </c>
      <c r="G434" s="21">
        <f t="shared" si="27"/>
        <v>30033097036</v>
      </c>
      <c r="H434" s="22">
        <f t="shared" si="28"/>
        <v>0.87407816422637552</v>
      </c>
      <c r="I434" s="10"/>
    </row>
    <row r="435" spans="2:9" x14ac:dyDescent="0.25">
      <c r="B435" s="10"/>
      <c r="C435" s="10"/>
      <c r="D435" s="18">
        <v>418</v>
      </c>
      <c r="E435" s="21">
        <f t="shared" si="25"/>
        <v>30033097036</v>
      </c>
      <c r="F435" s="21">
        <f t="shared" si="26"/>
        <v>15467044973541</v>
      </c>
      <c r="G435" s="21">
        <f t="shared" si="27"/>
        <v>5162707941</v>
      </c>
      <c r="H435" s="22">
        <f t="shared" si="28"/>
        <v>0.15025457661249675</v>
      </c>
      <c r="I435" s="10"/>
    </row>
    <row r="436" spans="2:9" x14ac:dyDescent="0.25">
      <c r="B436" s="10"/>
      <c r="C436" s="10"/>
      <c r="D436" s="18">
        <v>419</v>
      </c>
      <c r="E436" s="21">
        <f t="shared" si="25"/>
        <v>5162707941</v>
      </c>
      <c r="F436" s="21">
        <f t="shared" si="26"/>
        <v>2658794589616</v>
      </c>
      <c r="G436" s="21">
        <f t="shared" si="27"/>
        <v>13094735280</v>
      </c>
      <c r="H436" s="22">
        <f t="shared" si="28"/>
        <v>0.38110695546492934</v>
      </c>
      <c r="I436" s="10"/>
    </row>
    <row r="437" spans="2:9" x14ac:dyDescent="0.25">
      <c r="B437" s="10"/>
      <c r="C437" s="10"/>
      <c r="D437" s="18">
        <v>420</v>
      </c>
      <c r="E437" s="21">
        <f t="shared" si="25"/>
        <v>13094735280</v>
      </c>
      <c r="F437" s="21">
        <f t="shared" si="26"/>
        <v>6743788669201</v>
      </c>
      <c r="G437" s="21">
        <f t="shared" si="27"/>
        <v>9279949073</v>
      </c>
      <c r="H437" s="22">
        <f t="shared" si="28"/>
        <v>0.2700820644677151</v>
      </c>
      <c r="I437" s="10"/>
    </row>
    <row r="438" spans="2:9" x14ac:dyDescent="0.25">
      <c r="B438" s="10"/>
      <c r="C438" s="10"/>
      <c r="D438" s="18">
        <v>421</v>
      </c>
      <c r="E438" s="21">
        <f t="shared" ref="E438:E501" si="29">G437</f>
        <v>9279949073</v>
      </c>
      <c r="F438" s="21">
        <f t="shared" si="26"/>
        <v>4779173772596</v>
      </c>
      <c r="G438" s="21">
        <f t="shared" si="27"/>
        <v>3170139444</v>
      </c>
      <c r="H438" s="22">
        <f t="shared" si="28"/>
        <v>9.2263200902380049E-2</v>
      </c>
      <c r="I438" s="10"/>
    </row>
    <row r="439" spans="2:9" x14ac:dyDescent="0.25">
      <c r="B439" s="10"/>
      <c r="C439" s="10"/>
      <c r="D439" s="18">
        <v>422</v>
      </c>
      <c r="E439" s="21">
        <f t="shared" si="29"/>
        <v>3170139444</v>
      </c>
      <c r="F439" s="21">
        <f t="shared" si="26"/>
        <v>1632621813661</v>
      </c>
      <c r="G439" s="21">
        <f t="shared" si="27"/>
        <v>17714110365</v>
      </c>
      <c r="H439" s="22">
        <f t="shared" si="28"/>
        <v>0.51554846475482918</v>
      </c>
      <c r="I439" s="10"/>
    </row>
    <row r="440" spans="2:9" x14ac:dyDescent="0.25">
      <c r="B440" s="10"/>
      <c r="C440" s="10"/>
      <c r="D440" s="18">
        <v>423</v>
      </c>
      <c r="E440" s="21">
        <f t="shared" si="29"/>
        <v>17714110365</v>
      </c>
      <c r="F440" s="21">
        <f t="shared" si="26"/>
        <v>9122766837976</v>
      </c>
      <c r="G440" s="21">
        <f t="shared" si="27"/>
        <v>17436170456</v>
      </c>
      <c r="H440" s="22">
        <f t="shared" si="28"/>
        <v>0.50745934876613319</v>
      </c>
      <c r="I440" s="10"/>
    </row>
    <row r="441" spans="2:9" x14ac:dyDescent="0.25">
      <c r="B441" s="10"/>
      <c r="C441" s="10"/>
      <c r="D441" s="18">
        <v>424</v>
      </c>
      <c r="E441" s="21">
        <f t="shared" si="29"/>
        <v>17436170456</v>
      </c>
      <c r="F441" s="21">
        <f t="shared" si="26"/>
        <v>8979627784841</v>
      </c>
      <c r="G441" s="21">
        <f t="shared" si="27"/>
        <v>11736070793</v>
      </c>
      <c r="H441" s="22">
        <f t="shared" si="28"/>
        <v>0.34156461458769627</v>
      </c>
      <c r="I441" s="10"/>
    </row>
    <row r="442" spans="2:9" x14ac:dyDescent="0.25">
      <c r="B442" s="10"/>
      <c r="C442" s="10"/>
      <c r="D442" s="18">
        <v>425</v>
      </c>
      <c r="E442" s="21">
        <f t="shared" si="29"/>
        <v>11736070793</v>
      </c>
      <c r="F442" s="21">
        <f t="shared" si="26"/>
        <v>6044076458396</v>
      </c>
      <c r="G442" s="21">
        <f t="shared" si="27"/>
        <v>31122243996</v>
      </c>
      <c r="H442" s="22">
        <f t="shared" si="28"/>
        <v>0.90577651269268245</v>
      </c>
      <c r="I442" s="10"/>
    </row>
    <row r="443" spans="2:9" x14ac:dyDescent="0.25">
      <c r="B443" s="10"/>
      <c r="C443" s="10"/>
      <c r="D443" s="18">
        <v>426</v>
      </c>
      <c r="E443" s="21">
        <f t="shared" si="29"/>
        <v>31122243996</v>
      </c>
      <c r="F443" s="21">
        <f t="shared" si="26"/>
        <v>16027955657941</v>
      </c>
      <c r="G443" s="21">
        <f t="shared" si="27"/>
        <v>16317578453</v>
      </c>
      <c r="H443" s="22">
        <f t="shared" si="28"/>
        <v>0.47490403676056303</v>
      </c>
      <c r="I443" s="10"/>
    </row>
    <row r="444" spans="2:9" x14ac:dyDescent="0.25">
      <c r="B444" s="10"/>
      <c r="C444" s="10"/>
      <c r="D444" s="18">
        <v>427</v>
      </c>
      <c r="E444" s="21">
        <f t="shared" si="29"/>
        <v>16317578453</v>
      </c>
      <c r="F444" s="21">
        <f t="shared" si="26"/>
        <v>8403552903296</v>
      </c>
      <c r="G444" s="21">
        <f t="shared" si="27"/>
        <v>19776741504</v>
      </c>
      <c r="H444" s="22">
        <f t="shared" si="28"/>
        <v>0.57557893171906471</v>
      </c>
      <c r="I444" s="10"/>
    </row>
    <row r="445" spans="2:9" x14ac:dyDescent="0.25">
      <c r="B445" s="10"/>
      <c r="C445" s="10"/>
      <c r="D445" s="18">
        <v>428</v>
      </c>
      <c r="E445" s="21">
        <f t="shared" si="29"/>
        <v>19776741504</v>
      </c>
      <c r="F445" s="21">
        <f t="shared" si="26"/>
        <v>10185021874561</v>
      </c>
      <c r="G445" s="21">
        <f t="shared" si="27"/>
        <v>14539317633</v>
      </c>
      <c r="H445" s="22">
        <f t="shared" si="28"/>
        <v>0.42314983534743078</v>
      </c>
      <c r="I445" s="10"/>
    </row>
    <row r="446" spans="2:9" x14ac:dyDescent="0.25">
      <c r="B446" s="10"/>
      <c r="C446" s="10"/>
      <c r="D446" s="18">
        <v>429</v>
      </c>
      <c r="E446" s="21">
        <f t="shared" si="29"/>
        <v>14539317633</v>
      </c>
      <c r="F446" s="21">
        <f t="shared" si="26"/>
        <v>7487748580996</v>
      </c>
      <c r="G446" s="21">
        <f t="shared" si="27"/>
        <v>31685355140</v>
      </c>
      <c r="H446" s="22">
        <f t="shared" si="28"/>
        <v>0.9221652039559558</v>
      </c>
      <c r="I446" s="10"/>
    </row>
    <row r="447" spans="2:9" x14ac:dyDescent="0.25">
      <c r="B447" s="10"/>
      <c r="C447" s="10"/>
      <c r="D447" s="18">
        <v>430</v>
      </c>
      <c r="E447" s="21">
        <f t="shared" si="29"/>
        <v>31685355140</v>
      </c>
      <c r="F447" s="21">
        <f t="shared" si="26"/>
        <v>16317957897101</v>
      </c>
      <c r="G447" s="21">
        <f t="shared" si="27"/>
        <v>31441910669</v>
      </c>
      <c r="H447" s="22">
        <f t="shared" si="28"/>
        <v>0.91508003734634258</v>
      </c>
      <c r="I447" s="10"/>
    </row>
    <row r="448" spans="2:9" x14ac:dyDescent="0.25">
      <c r="B448" s="10"/>
      <c r="C448" s="10"/>
      <c r="D448" s="18">
        <v>431</v>
      </c>
      <c r="E448" s="21">
        <f t="shared" si="29"/>
        <v>31441910669</v>
      </c>
      <c r="F448" s="21">
        <f t="shared" si="26"/>
        <v>16192583994536</v>
      </c>
      <c r="G448" s="21">
        <f t="shared" si="27"/>
        <v>9147223208</v>
      </c>
      <c r="H448" s="22">
        <f t="shared" si="28"/>
        <v>0.26621923339553177</v>
      </c>
      <c r="I448" s="10"/>
    </row>
    <row r="449" spans="2:9" x14ac:dyDescent="0.25">
      <c r="B449" s="10"/>
      <c r="C449" s="10"/>
      <c r="D449" s="18">
        <v>432</v>
      </c>
      <c r="E449" s="21">
        <f t="shared" si="29"/>
        <v>9147223208</v>
      </c>
      <c r="F449" s="21">
        <f t="shared" si="26"/>
        <v>4710819952121</v>
      </c>
      <c r="G449" s="21">
        <f t="shared" si="27"/>
        <v>3535795705</v>
      </c>
      <c r="H449" s="22">
        <f t="shared" si="28"/>
        <v>0.10290519872796722</v>
      </c>
      <c r="I449" s="10"/>
    </row>
    <row r="450" spans="2:9" x14ac:dyDescent="0.25">
      <c r="B450" s="10"/>
      <c r="C450" s="10"/>
      <c r="D450" s="18">
        <v>433</v>
      </c>
      <c r="E450" s="21">
        <f t="shared" si="29"/>
        <v>3535795705</v>
      </c>
      <c r="F450" s="21">
        <f t="shared" si="26"/>
        <v>1820934788076</v>
      </c>
      <c r="G450" s="21">
        <f t="shared" si="27"/>
        <v>34228392940</v>
      </c>
      <c r="H450" s="22">
        <f t="shared" si="28"/>
        <v>0.99617734493222088</v>
      </c>
      <c r="I450" s="10"/>
    </row>
    <row r="451" spans="2:9" x14ac:dyDescent="0.25">
      <c r="B451" s="10"/>
      <c r="C451" s="10"/>
      <c r="D451" s="18">
        <v>434</v>
      </c>
      <c r="E451" s="21">
        <f t="shared" si="29"/>
        <v>34228392940</v>
      </c>
      <c r="F451" s="21">
        <f t="shared" si="26"/>
        <v>17627622364101</v>
      </c>
      <c r="G451" s="21">
        <f t="shared" si="27"/>
        <v>1076581317</v>
      </c>
      <c r="H451" s="22">
        <f t="shared" si="28"/>
        <v>3.1332640122855082E-2</v>
      </c>
      <c r="I451" s="10"/>
    </row>
    <row r="452" spans="2:9" x14ac:dyDescent="0.25">
      <c r="B452" s="10"/>
      <c r="C452" s="10"/>
      <c r="D452" s="18">
        <v>435</v>
      </c>
      <c r="E452" s="21">
        <f t="shared" si="29"/>
        <v>1076581317</v>
      </c>
      <c r="F452" s="21">
        <f t="shared" si="26"/>
        <v>554439378256</v>
      </c>
      <c r="G452" s="21">
        <f t="shared" si="27"/>
        <v>4683564368</v>
      </c>
      <c r="H452" s="22">
        <f t="shared" si="28"/>
        <v>0.13630966329947114</v>
      </c>
      <c r="I452" s="10"/>
    </row>
    <row r="453" spans="2:9" x14ac:dyDescent="0.25">
      <c r="B453" s="10"/>
      <c r="C453" s="10"/>
      <c r="D453" s="18">
        <v>436</v>
      </c>
      <c r="E453" s="21">
        <f t="shared" si="29"/>
        <v>4683564368</v>
      </c>
      <c r="F453" s="21">
        <f t="shared" si="26"/>
        <v>2412035649521</v>
      </c>
      <c r="G453" s="21">
        <f t="shared" si="27"/>
        <v>6853963761</v>
      </c>
      <c r="H453" s="22">
        <f t="shared" si="28"/>
        <v>0.19947659925674088</v>
      </c>
      <c r="I453" s="10"/>
    </row>
    <row r="454" spans="2:9" x14ac:dyDescent="0.25">
      <c r="B454" s="10"/>
      <c r="C454" s="10"/>
      <c r="D454" s="18">
        <v>437</v>
      </c>
      <c r="E454" s="21">
        <f t="shared" si="29"/>
        <v>6853963761</v>
      </c>
      <c r="F454" s="21">
        <f t="shared" si="26"/>
        <v>3529791336916</v>
      </c>
      <c r="G454" s="21">
        <f t="shared" si="27"/>
        <v>25098023380</v>
      </c>
      <c r="H454" s="22">
        <f t="shared" si="28"/>
        <v>0.73044861725065857</v>
      </c>
      <c r="I454" s="10"/>
    </row>
    <row r="455" spans="2:9" x14ac:dyDescent="0.25">
      <c r="B455" s="10"/>
      <c r="C455" s="10"/>
      <c r="D455" s="18">
        <v>438</v>
      </c>
      <c r="E455" s="21">
        <f t="shared" si="29"/>
        <v>25098023380</v>
      </c>
      <c r="F455" s="21">
        <f t="shared" si="26"/>
        <v>12925482040701</v>
      </c>
      <c r="G455" s="21">
        <f t="shared" si="27"/>
        <v>6220414333</v>
      </c>
      <c r="H455" s="22">
        <f t="shared" si="28"/>
        <v>0.18103788411826827</v>
      </c>
      <c r="I455" s="10"/>
    </row>
    <row r="456" spans="2:9" x14ac:dyDescent="0.25">
      <c r="B456" s="10"/>
      <c r="C456" s="10"/>
      <c r="D456" s="18">
        <v>439</v>
      </c>
      <c r="E456" s="21">
        <f t="shared" si="29"/>
        <v>6220414333</v>
      </c>
      <c r="F456" s="21">
        <f t="shared" si="26"/>
        <v>3203513381496</v>
      </c>
      <c r="G456" s="21">
        <f t="shared" si="27"/>
        <v>8057713272</v>
      </c>
      <c r="H456" s="22">
        <f t="shared" si="28"/>
        <v>0.23451032093726099</v>
      </c>
      <c r="I456" s="10"/>
    </row>
    <row r="457" spans="2:9" x14ac:dyDescent="0.25">
      <c r="B457" s="10"/>
      <c r="C457" s="10"/>
      <c r="D457" s="18">
        <v>440</v>
      </c>
      <c r="E457" s="21">
        <f t="shared" si="29"/>
        <v>8057713272</v>
      </c>
      <c r="F457" s="21">
        <f t="shared" si="26"/>
        <v>4149722335081</v>
      </c>
      <c r="G457" s="21">
        <f t="shared" si="27"/>
        <v>26553730921</v>
      </c>
      <c r="H457" s="22">
        <f t="shared" si="28"/>
        <v>0.7728152827185113</v>
      </c>
      <c r="I457" s="10"/>
    </row>
    <row r="458" spans="2:9" x14ac:dyDescent="0.25">
      <c r="B458" s="10"/>
      <c r="C458" s="10"/>
      <c r="D458" s="18">
        <v>441</v>
      </c>
      <c r="E458" s="21">
        <f t="shared" si="29"/>
        <v>26553730921</v>
      </c>
      <c r="F458" s="21">
        <f t="shared" si="26"/>
        <v>13675171424316</v>
      </c>
      <c r="G458" s="21">
        <f t="shared" si="27"/>
        <v>34355292220</v>
      </c>
      <c r="H458" s="22">
        <f t="shared" si="28"/>
        <v>0.99987060006242245</v>
      </c>
      <c r="I458" s="10"/>
    </row>
    <row r="459" spans="2:9" x14ac:dyDescent="0.25">
      <c r="B459" s="10"/>
      <c r="C459" s="10"/>
      <c r="D459" s="18">
        <v>442</v>
      </c>
      <c r="E459" s="21">
        <f t="shared" si="29"/>
        <v>34355292220</v>
      </c>
      <c r="F459" s="21">
        <f t="shared" si="26"/>
        <v>17692975493301</v>
      </c>
      <c r="G459" s="21">
        <f t="shared" si="27"/>
        <v>32069972149</v>
      </c>
      <c r="H459" s="22">
        <f t="shared" si="28"/>
        <v>0.93335903217666782</v>
      </c>
      <c r="I459" s="10"/>
    </row>
    <row r="460" spans="2:9" x14ac:dyDescent="0.25">
      <c r="B460" s="10"/>
      <c r="C460" s="10"/>
      <c r="D460" s="18">
        <v>443</v>
      </c>
      <c r="E460" s="21">
        <f t="shared" si="29"/>
        <v>32069972149</v>
      </c>
      <c r="F460" s="21">
        <f t="shared" si="26"/>
        <v>16516035656736</v>
      </c>
      <c r="G460" s="21">
        <f t="shared" si="27"/>
        <v>23361240096</v>
      </c>
      <c r="H460" s="22">
        <f t="shared" si="28"/>
        <v>0.67990157101303339</v>
      </c>
      <c r="I460" s="10"/>
    </row>
    <row r="461" spans="2:9" x14ac:dyDescent="0.25">
      <c r="B461" s="10"/>
      <c r="C461" s="10"/>
      <c r="D461" s="18">
        <v>444</v>
      </c>
      <c r="E461" s="21">
        <f t="shared" si="29"/>
        <v>23361240096</v>
      </c>
      <c r="F461" s="21">
        <f t="shared" si="26"/>
        <v>12031038649441</v>
      </c>
      <c r="G461" s="21">
        <f t="shared" si="27"/>
        <v>5130220641</v>
      </c>
      <c r="H461" s="22">
        <f t="shared" si="28"/>
        <v>0.1493090717412997</v>
      </c>
      <c r="I461" s="10"/>
    </row>
    <row r="462" spans="2:9" x14ac:dyDescent="0.25">
      <c r="B462" s="10"/>
      <c r="C462" s="10"/>
      <c r="D462" s="18">
        <v>445</v>
      </c>
      <c r="E462" s="21">
        <f t="shared" si="29"/>
        <v>5130220641</v>
      </c>
      <c r="F462" s="21">
        <f t="shared" si="26"/>
        <v>2642063630116</v>
      </c>
      <c r="G462" s="21">
        <f t="shared" si="27"/>
        <v>30723514148</v>
      </c>
      <c r="H462" s="22">
        <f t="shared" si="28"/>
        <v>0.89417194679845124</v>
      </c>
      <c r="I462" s="10"/>
    </row>
    <row r="463" spans="2:9" x14ac:dyDescent="0.25">
      <c r="B463" s="10"/>
      <c r="C463" s="10"/>
      <c r="D463" s="18">
        <v>446</v>
      </c>
      <c r="E463" s="21">
        <f t="shared" si="29"/>
        <v>30723514148</v>
      </c>
      <c r="F463" s="21">
        <f t="shared" si="26"/>
        <v>15822609786221</v>
      </c>
      <c r="G463" s="21">
        <f t="shared" si="27"/>
        <v>17130136941</v>
      </c>
      <c r="H463" s="22">
        <f t="shared" si="28"/>
        <v>0.49855260123149492</v>
      </c>
      <c r="I463" s="10"/>
    </row>
    <row r="464" spans="2:9" x14ac:dyDescent="0.25">
      <c r="B464" s="10"/>
      <c r="C464" s="10"/>
      <c r="D464" s="18">
        <v>447</v>
      </c>
      <c r="E464" s="21">
        <f t="shared" si="29"/>
        <v>17130136941</v>
      </c>
      <c r="F464" s="21">
        <f t="shared" si="26"/>
        <v>8822020524616</v>
      </c>
      <c r="G464" s="21">
        <f t="shared" si="27"/>
        <v>25927502408</v>
      </c>
      <c r="H464" s="22">
        <f t="shared" si="28"/>
        <v>0.75458963424898684</v>
      </c>
      <c r="I464" s="10"/>
    </row>
    <row r="465" spans="2:9" x14ac:dyDescent="0.25">
      <c r="B465" s="10"/>
      <c r="C465" s="10"/>
      <c r="D465" s="18">
        <v>448</v>
      </c>
      <c r="E465" s="21">
        <f t="shared" si="29"/>
        <v>25927502408</v>
      </c>
      <c r="F465" s="21">
        <f t="shared" si="26"/>
        <v>13352663740121</v>
      </c>
      <c r="G465" s="21">
        <f t="shared" si="27"/>
        <v>21085253337</v>
      </c>
      <c r="H465" s="22">
        <f t="shared" si="28"/>
        <v>0.61366163825732656</v>
      </c>
      <c r="I465" s="10"/>
    </row>
    <row r="466" spans="2:9" x14ac:dyDescent="0.25">
      <c r="B466" s="10"/>
      <c r="C466" s="10"/>
      <c r="D466" s="18">
        <v>449</v>
      </c>
      <c r="E466" s="21">
        <f t="shared" si="29"/>
        <v>21085253337</v>
      </c>
      <c r="F466" s="21">
        <f t="shared" si="26"/>
        <v>10858905468556</v>
      </c>
      <c r="G466" s="21">
        <f t="shared" si="27"/>
        <v>1228144268</v>
      </c>
      <c r="H466" s="22">
        <f t="shared" si="28"/>
        <v>3.574370255228132E-2</v>
      </c>
      <c r="I466" s="10"/>
    </row>
    <row r="467" spans="2:9" x14ac:dyDescent="0.25">
      <c r="B467" s="10"/>
      <c r="C467" s="10"/>
      <c r="D467" s="18">
        <v>450</v>
      </c>
      <c r="E467" s="21">
        <f t="shared" si="29"/>
        <v>1228144268</v>
      </c>
      <c r="F467" s="21">
        <f t="shared" ref="F467:F530" si="30">E$7 * E467 + H$7</f>
        <v>632494298021</v>
      </c>
      <c r="G467" s="21">
        <f t="shared" ref="G467:G530" si="31">MOD(F467,F$7)</f>
        <v>14019007397</v>
      </c>
      <c r="H467" s="22">
        <f t="shared" ref="H467:H530" si="32">G467/F$7</f>
        <v>0.40800681445398368</v>
      </c>
      <c r="I467" s="10"/>
    </row>
    <row r="468" spans="2:9" x14ac:dyDescent="0.25">
      <c r="B468" s="10"/>
      <c r="C468" s="10"/>
      <c r="D468" s="18">
        <v>451</v>
      </c>
      <c r="E468" s="21">
        <f t="shared" si="29"/>
        <v>14019007397</v>
      </c>
      <c r="F468" s="21">
        <f t="shared" si="30"/>
        <v>7219788809456</v>
      </c>
      <c r="G468" s="21">
        <f t="shared" si="31"/>
        <v>4243752176</v>
      </c>
      <c r="H468" s="22">
        <f t="shared" si="32"/>
        <v>0.12350944383069873</v>
      </c>
      <c r="I468" s="10"/>
    </row>
    <row r="469" spans="2:9" x14ac:dyDescent="0.25">
      <c r="B469" s="10"/>
      <c r="C469" s="10"/>
      <c r="D469" s="18">
        <v>452</v>
      </c>
      <c r="E469" s="21">
        <f t="shared" si="29"/>
        <v>4243752176</v>
      </c>
      <c r="F469" s="21">
        <f t="shared" si="30"/>
        <v>2185532370641</v>
      </c>
      <c r="G469" s="21">
        <f t="shared" si="31"/>
        <v>20868853457</v>
      </c>
      <c r="H469" s="22">
        <f t="shared" si="32"/>
        <v>0.60736357283894904</v>
      </c>
      <c r="I469" s="10"/>
    </row>
    <row r="470" spans="2:9" x14ac:dyDescent="0.25">
      <c r="B470" s="10"/>
      <c r="C470" s="10"/>
      <c r="D470" s="18">
        <v>453</v>
      </c>
      <c r="E470" s="21">
        <f t="shared" si="29"/>
        <v>20868853457</v>
      </c>
      <c r="F470" s="21">
        <f t="shared" si="30"/>
        <v>10747459530356</v>
      </c>
      <c r="G470" s="21">
        <f t="shared" si="31"/>
        <v>27221159540</v>
      </c>
      <c r="H470" s="22">
        <f t="shared" si="32"/>
        <v>0.79224001208785921</v>
      </c>
      <c r="I470" s="10"/>
    </row>
    <row r="471" spans="2:9" x14ac:dyDescent="0.25">
      <c r="B471" s="10"/>
      <c r="C471" s="10"/>
      <c r="D471" s="18">
        <v>454</v>
      </c>
      <c r="E471" s="21">
        <f t="shared" si="29"/>
        <v>27221159540</v>
      </c>
      <c r="F471" s="21">
        <f t="shared" si="30"/>
        <v>14018897163101</v>
      </c>
      <c r="G471" s="21">
        <f t="shared" si="31"/>
        <v>123908957</v>
      </c>
      <c r="H471" s="22">
        <f t="shared" si="32"/>
        <v>3.6062252765987068E-3</v>
      </c>
      <c r="I471" s="10"/>
    </row>
    <row r="472" spans="2:9" x14ac:dyDescent="0.25">
      <c r="B472" s="10"/>
      <c r="C472" s="10"/>
      <c r="D472" s="18">
        <v>455</v>
      </c>
      <c r="E472" s="21">
        <f t="shared" si="29"/>
        <v>123908957</v>
      </c>
      <c r="F472" s="21">
        <f t="shared" si="30"/>
        <v>63813112856</v>
      </c>
      <c r="G472" s="21">
        <f t="shared" si="31"/>
        <v>29453374488</v>
      </c>
      <c r="H472" s="22">
        <f t="shared" si="32"/>
        <v>0.85720601747743785</v>
      </c>
      <c r="I472" s="10"/>
    </row>
    <row r="473" spans="2:9" x14ac:dyDescent="0.25">
      <c r="B473" s="10"/>
      <c r="C473" s="10"/>
      <c r="D473" s="18">
        <v>456</v>
      </c>
      <c r="E473" s="21">
        <f t="shared" si="29"/>
        <v>29453374488</v>
      </c>
      <c r="F473" s="21">
        <f t="shared" si="30"/>
        <v>15168487861321</v>
      </c>
      <c r="G473" s="21">
        <f t="shared" si="31"/>
        <v>15843241033</v>
      </c>
      <c r="H473" s="22">
        <f t="shared" si="32"/>
        <v>0.46109900090959854</v>
      </c>
      <c r="I473" s="10"/>
    </row>
    <row r="474" spans="2:9" x14ac:dyDescent="0.25">
      <c r="B474" s="10"/>
      <c r="C474" s="10"/>
      <c r="D474" s="18">
        <v>457</v>
      </c>
      <c r="E474" s="21">
        <f t="shared" si="29"/>
        <v>15843241033</v>
      </c>
      <c r="F474" s="21">
        <f t="shared" si="30"/>
        <v>8159269131996</v>
      </c>
      <c r="G474" s="21">
        <f t="shared" si="31"/>
        <v>16011138780</v>
      </c>
      <c r="H474" s="22">
        <f t="shared" si="32"/>
        <v>0.46598546847235411</v>
      </c>
      <c r="I474" s="10"/>
    </row>
    <row r="475" spans="2:9" x14ac:dyDescent="0.25">
      <c r="B475" s="10"/>
      <c r="C475" s="10"/>
      <c r="D475" s="18">
        <v>458</v>
      </c>
      <c r="E475" s="21">
        <f t="shared" si="29"/>
        <v>16011138780</v>
      </c>
      <c r="F475" s="21">
        <f t="shared" si="30"/>
        <v>8245736471701</v>
      </c>
      <c r="G475" s="21">
        <f t="shared" si="31"/>
        <v>33759001749</v>
      </c>
      <c r="H475" s="22">
        <f t="shared" si="32"/>
        <v>0.98251626329147257</v>
      </c>
      <c r="I475" s="10"/>
    </row>
    <row r="476" spans="2:9" x14ac:dyDescent="0.25">
      <c r="B476" s="10"/>
      <c r="C476" s="10"/>
      <c r="D476" s="18">
        <v>459</v>
      </c>
      <c r="E476" s="21">
        <f t="shared" si="29"/>
        <v>33759001749</v>
      </c>
      <c r="F476" s="21">
        <f t="shared" si="30"/>
        <v>17385885900736</v>
      </c>
      <c r="G476" s="21">
        <f t="shared" si="31"/>
        <v>34218024896</v>
      </c>
      <c r="H476" s="22">
        <f t="shared" si="32"/>
        <v>0.99587559513747692</v>
      </c>
      <c r="I476" s="10"/>
    </row>
    <row r="477" spans="2:9" x14ac:dyDescent="0.25">
      <c r="B477" s="10"/>
      <c r="C477" s="10"/>
      <c r="D477" s="18">
        <v>460</v>
      </c>
      <c r="E477" s="21">
        <f t="shared" si="29"/>
        <v>34218024896</v>
      </c>
      <c r="F477" s="21">
        <f t="shared" si="30"/>
        <v>17622282821441</v>
      </c>
      <c r="G477" s="21">
        <f t="shared" si="31"/>
        <v>30096777025</v>
      </c>
      <c r="H477" s="22">
        <f t="shared" si="32"/>
        <v>0.87593149582971819</v>
      </c>
      <c r="I477" s="10"/>
    </row>
    <row r="478" spans="2:9" x14ac:dyDescent="0.25">
      <c r="B478" s="10"/>
      <c r="C478" s="10"/>
      <c r="D478" s="18">
        <v>461</v>
      </c>
      <c r="E478" s="21">
        <f t="shared" si="29"/>
        <v>30096777025</v>
      </c>
      <c r="F478" s="21">
        <f t="shared" si="30"/>
        <v>15499840167876</v>
      </c>
      <c r="G478" s="21">
        <f t="shared" si="31"/>
        <v>3598163908</v>
      </c>
      <c r="H478" s="22">
        <f t="shared" si="32"/>
        <v>0.10472035233397037</v>
      </c>
      <c r="I478" s="10"/>
    </row>
    <row r="479" spans="2:9" x14ac:dyDescent="0.25">
      <c r="B479" s="10"/>
      <c r="C479" s="10"/>
      <c r="D479" s="18">
        <v>462</v>
      </c>
      <c r="E479" s="21">
        <f t="shared" si="29"/>
        <v>3598163908</v>
      </c>
      <c r="F479" s="21">
        <f t="shared" si="30"/>
        <v>1853054412621</v>
      </c>
      <c r="G479" s="21">
        <f t="shared" si="31"/>
        <v>31988279117</v>
      </c>
      <c r="H479" s="22">
        <f t="shared" si="32"/>
        <v>0.9309814520238433</v>
      </c>
      <c r="I479" s="10"/>
    </row>
    <row r="480" spans="2:9" x14ac:dyDescent="0.25">
      <c r="B480" s="10"/>
      <c r="C480" s="10"/>
      <c r="D480" s="18">
        <v>463</v>
      </c>
      <c r="E480" s="21">
        <f t="shared" si="29"/>
        <v>31988279117</v>
      </c>
      <c r="F480" s="21">
        <f t="shared" si="30"/>
        <v>16473963745256</v>
      </c>
      <c r="G480" s="21">
        <f t="shared" si="31"/>
        <v>15649066984</v>
      </c>
      <c r="H480" s="22">
        <f t="shared" si="32"/>
        <v>0.45544779230840504</v>
      </c>
      <c r="I480" s="10"/>
    </row>
    <row r="481" spans="2:9" x14ac:dyDescent="0.25">
      <c r="B481" s="10"/>
      <c r="C481" s="10"/>
      <c r="D481" s="18">
        <v>464</v>
      </c>
      <c r="E481" s="21">
        <f t="shared" si="29"/>
        <v>15649066984</v>
      </c>
      <c r="F481" s="21">
        <f t="shared" si="30"/>
        <v>8059269496761</v>
      </c>
      <c r="G481" s="21">
        <f t="shared" si="31"/>
        <v>19090718649</v>
      </c>
      <c r="H481" s="22">
        <f t="shared" si="32"/>
        <v>0.5556130388577003</v>
      </c>
      <c r="I481" s="10"/>
    </row>
    <row r="482" spans="2:9" x14ac:dyDescent="0.25">
      <c r="B482" s="10"/>
      <c r="C482" s="10"/>
      <c r="D482" s="18">
        <v>465</v>
      </c>
      <c r="E482" s="21">
        <f t="shared" si="29"/>
        <v>19090718649</v>
      </c>
      <c r="F482" s="21">
        <f t="shared" si="30"/>
        <v>9831720104236</v>
      </c>
      <c r="G482" s="21">
        <f t="shared" si="31"/>
        <v>4834930988</v>
      </c>
      <c r="H482" s="22">
        <f t="shared" si="32"/>
        <v>0.14071501174475998</v>
      </c>
      <c r="I482" s="10"/>
    </row>
    <row r="483" spans="2:9" x14ac:dyDescent="0.25">
      <c r="B483" s="10"/>
      <c r="C483" s="10"/>
      <c r="D483" s="18">
        <v>466</v>
      </c>
      <c r="E483" s="21">
        <f t="shared" si="29"/>
        <v>4834930988</v>
      </c>
      <c r="F483" s="21">
        <f t="shared" si="30"/>
        <v>2489989458821</v>
      </c>
      <c r="G483" s="21">
        <f t="shared" si="31"/>
        <v>16088296325</v>
      </c>
      <c r="H483" s="22">
        <f t="shared" si="32"/>
        <v>0.46823104858049192</v>
      </c>
      <c r="I483" s="10"/>
    </row>
    <row r="484" spans="2:9" x14ac:dyDescent="0.25">
      <c r="B484" s="10"/>
      <c r="C484" s="10"/>
      <c r="D484" s="18">
        <v>467</v>
      </c>
      <c r="E484" s="21">
        <f t="shared" si="29"/>
        <v>16088296325</v>
      </c>
      <c r="F484" s="21">
        <f t="shared" si="30"/>
        <v>8285472607376</v>
      </c>
      <c r="G484" s="21">
        <f t="shared" si="31"/>
        <v>4775660688</v>
      </c>
      <c r="H484" s="22">
        <f t="shared" si="32"/>
        <v>0.13899001898244023</v>
      </c>
      <c r="I484" s="10"/>
    </row>
    <row r="485" spans="2:9" x14ac:dyDescent="0.25">
      <c r="B485" s="10"/>
      <c r="C485" s="10"/>
      <c r="D485" s="18">
        <v>468</v>
      </c>
      <c r="E485" s="21">
        <f t="shared" si="29"/>
        <v>4775660688</v>
      </c>
      <c r="F485" s="21">
        <f t="shared" si="30"/>
        <v>2459465254321</v>
      </c>
      <c r="G485" s="21">
        <f t="shared" si="31"/>
        <v>19923830193</v>
      </c>
      <c r="H485" s="22">
        <f t="shared" si="32"/>
        <v>0.57985977598582394</v>
      </c>
      <c r="I485" s="10"/>
    </row>
    <row r="486" spans="2:9" x14ac:dyDescent="0.25">
      <c r="B486" s="10"/>
      <c r="C486" s="10"/>
      <c r="D486" s="18">
        <v>469</v>
      </c>
      <c r="E486" s="21">
        <f t="shared" si="29"/>
        <v>19923830193</v>
      </c>
      <c r="F486" s="21">
        <f t="shared" si="30"/>
        <v>10260772549396</v>
      </c>
      <c r="G486" s="21">
        <f t="shared" si="31"/>
        <v>21570515732</v>
      </c>
      <c r="H486" s="22">
        <f t="shared" si="32"/>
        <v>0.6277846327284351</v>
      </c>
      <c r="I486" s="10"/>
    </row>
    <row r="487" spans="2:9" x14ac:dyDescent="0.25">
      <c r="B487" s="10"/>
      <c r="C487" s="10"/>
      <c r="D487" s="18">
        <v>470</v>
      </c>
      <c r="E487" s="21">
        <f t="shared" si="29"/>
        <v>21570515732</v>
      </c>
      <c r="F487" s="21">
        <f t="shared" si="30"/>
        <v>11108815601981</v>
      </c>
      <c r="G487" s="21">
        <f t="shared" si="31"/>
        <v>10620109117</v>
      </c>
      <c r="H487" s="22">
        <f t="shared" si="32"/>
        <v>0.30908585517317988</v>
      </c>
      <c r="I487" s="10"/>
    </row>
    <row r="488" spans="2:9" x14ac:dyDescent="0.25">
      <c r="B488" s="10"/>
      <c r="C488" s="10"/>
      <c r="D488" s="18">
        <v>471</v>
      </c>
      <c r="E488" s="21">
        <f t="shared" si="29"/>
        <v>10620109117</v>
      </c>
      <c r="F488" s="21">
        <f t="shared" si="30"/>
        <v>5469356195256</v>
      </c>
      <c r="G488" s="21">
        <f t="shared" si="31"/>
        <v>6157794744</v>
      </c>
      <c r="H488" s="22">
        <f t="shared" si="32"/>
        <v>0.17921541421674192</v>
      </c>
      <c r="I488" s="10"/>
    </row>
    <row r="489" spans="2:9" x14ac:dyDescent="0.25">
      <c r="B489" s="10"/>
      <c r="C489" s="10"/>
      <c r="D489" s="18">
        <v>472</v>
      </c>
      <c r="E489" s="21">
        <f t="shared" si="29"/>
        <v>6157794744</v>
      </c>
      <c r="F489" s="21">
        <f t="shared" si="30"/>
        <v>3171264293161</v>
      </c>
      <c r="G489" s="21">
        <f t="shared" si="31"/>
        <v>10168363305</v>
      </c>
      <c r="H489" s="22">
        <f t="shared" si="32"/>
        <v>0.29593832165119238</v>
      </c>
      <c r="I489" s="10"/>
    </row>
    <row r="490" spans="2:9" x14ac:dyDescent="0.25">
      <c r="B490" s="10"/>
      <c r="C490" s="10"/>
      <c r="D490" s="18">
        <v>473</v>
      </c>
      <c r="E490" s="21">
        <f t="shared" si="29"/>
        <v>10168363305</v>
      </c>
      <c r="F490" s="21">
        <f t="shared" si="30"/>
        <v>5236707102076</v>
      </c>
      <c r="G490" s="21">
        <f t="shared" si="31"/>
        <v>14026870140</v>
      </c>
      <c r="H490" s="22">
        <f t="shared" si="32"/>
        <v>0.40823565039318055</v>
      </c>
      <c r="I490" s="10"/>
    </row>
    <row r="491" spans="2:9" x14ac:dyDescent="0.25">
      <c r="B491" s="10"/>
      <c r="C491" s="10"/>
      <c r="D491" s="18">
        <v>474</v>
      </c>
      <c r="E491" s="21">
        <f t="shared" si="29"/>
        <v>14026870140</v>
      </c>
      <c r="F491" s="21">
        <f t="shared" si="30"/>
        <v>7223838122101</v>
      </c>
      <c r="G491" s="21">
        <f t="shared" si="31"/>
        <v>8293064821</v>
      </c>
      <c r="H491" s="22">
        <f t="shared" si="32"/>
        <v>0.24135995251708664</v>
      </c>
      <c r="I491" s="10"/>
    </row>
    <row r="492" spans="2:9" x14ac:dyDescent="0.25">
      <c r="B492" s="10"/>
      <c r="C492" s="10"/>
      <c r="D492" s="18">
        <v>475</v>
      </c>
      <c r="E492" s="21">
        <f t="shared" si="29"/>
        <v>8293064821</v>
      </c>
      <c r="F492" s="21">
        <f t="shared" si="30"/>
        <v>4270928382816</v>
      </c>
      <c r="G492" s="21">
        <f t="shared" si="31"/>
        <v>10320825184</v>
      </c>
      <c r="H492" s="22">
        <f t="shared" si="32"/>
        <v>0.30037554632872343</v>
      </c>
      <c r="I492" s="10"/>
    </row>
    <row r="493" spans="2:9" x14ac:dyDescent="0.25">
      <c r="B493" s="10"/>
      <c r="C493" s="10"/>
      <c r="D493" s="18">
        <v>476</v>
      </c>
      <c r="E493" s="21">
        <f t="shared" si="29"/>
        <v>10320825184</v>
      </c>
      <c r="F493" s="21">
        <f t="shared" si="30"/>
        <v>5315224969761</v>
      </c>
      <c r="G493" s="21">
        <f t="shared" si="31"/>
        <v>23825261089</v>
      </c>
      <c r="H493" s="22">
        <f t="shared" si="32"/>
        <v>0.69340635932167061</v>
      </c>
      <c r="I493" s="10"/>
    </row>
    <row r="494" spans="2:9" x14ac:dyDescent="0.25">
      <c r="B494" s="10"/>
      <c r="C494" s="10"/>
      <c r="D494" s="18">
        <v>477</v>
      </c>
      <c r="E494" s="21">
        <f t="shared" si="29"/>
        <v>23825261089</v>
      </c>
      <c r="F494" s="21">
        <f t="shared" si="30"/>
        <v>12270009460836</v>
      </c>
      <c r="G494" s="21">
        <f t="shared" si="31"/>
        <v>3582863460</v>
      </c>
      <c r="H494" s="22">
        <f t="shared" si="32"/>
        <v>0.1042750506894663</v>
      </c>
      <c r="I494" s="10"/>
    </row>
    <row r="495" spans="2:9" x14ac:dyDescent="0.25">
      <c r="B495" s="10"/>
      <c r="C495" s="10"/>
      <c r="D495" s="18">
        <v>478</v>
      </c>
      <c r="E495" s="21">
        <f t="shared" si="29"/>
        <v>3582863460</v>
      </c>
      <c r="F495" s="21">
        <f t="shared" si="30"/>
        <v>1845174681901</v>
      </c>
      <c r="G495" s="21">
        <f t="shared" si="31"/>
        <v>24108548397</v>
      </c>
      <c r="H495" s="22">
        <f t="shared" si="32"/>
        <v>0.70165110510424711</v>
      </c>
      <c r="I495" s="10"/>
    </row>
    <row r="496" spans="2:9" x14ac:dyDescent="0.25">
      <c r="B496" s="10"/>
      <c r="C496" s="10"/>
      <c r="D496" s="18">
        <v>479</v>
      </c>
      <c r="E496" s="21">
        <f t="shared" si="29"/>
        <v>24108548397</v>
      </c>
      <c r="F496" s="21">
        <f t="shared" si="30"/>
        <v>12415902424456</v>
      </c>
      <c r="G496" s="21">
        <f t="shared" si="31"/>
        <v>12036873608</v>
      </c>
      <c r="H496" s="22">
        <f t="shared" si="32"/>
        <v>0.3503191287163645</v>
      </c>
      <c r="I496" s="10"/>
    </row>
    <row r="497" spans="2:9" x14ac:dyDescent="0.25">
      <c r="B497" s="10"/>
      <c r="C497" s="10"/>
      <c r="D497" s="18">
        <v>480</v>
      </c>
      <c r="E497" s="21">
        <f t="shared" si="29"/>
        <v>12036873608</v>
      </c>
      <c r="F497" s="21">
        <f t="shared" si="30"/>
        <v>6198989908121</v>
      </c>
      <c r="G497" s="21">
        <f t="shared" si="31"/>
        <v>14237001881</v>
      </c>
      <c r="H497" s="22">
        <f t="shared" si="32"/>
        <v>0.41435128895682283</v>
      </c>
      <c r="I497" s="10"/>
    </row>
    <row r="498" spans="2:9" x14ac:dyDescent="0.25">
      <c r="B498" s="10"/>
      <c r="C498" s="10"/>
      <c r="D498" s="18">
        <v>481</v>
      </c>
      <c r="E498" s="21">
        <f t="shared" si="29"/>
        <v>14237001881</v>
      </c>
      <c r="F498" s="21">
        <f t="shared" si="30"/>
        <v>7332055968716</v>
      </c>
      <c r="G498" s="21">
        <f t="shared" si="31"/>
        <v>13431696332</v>
      </c>
      <c r="H498" s="22">
        <f t="shared" si="32"/>
        <v>0.39091381279285997</v>
      </c>
      <c r="I498" s="10"/>
    </row>
    <row r="499" spans="2:9" x14ac:dyDescent="0.25">
      <c r="B499" s="10"/>
      <c r="C499" s="10"/>
      <c r="D499" s="18">
        <v>482</v>
      </c>
      <c r="E499" s="21">
        <f t="shared" si="29"/>
        <v>13431696332</v>
      </c>
      <c r="F499" s="21">
        <f t="shared" si="30"/>
        <v>6917323610981</v>
      </c>
      <c r="G499" s="21">
        <f t="shared" si="31"/>
        <v>11016199013</v>
      </c>
      <c r="H499" s="22">
        <f t="shared" si="32"/>
        <v>0.32061358835198916</v>
      </c>
      <c r="I499" s="10"/>
    </row>
    <row r="500" spans="2:9" x14ac:dyDescent="0.25">
      <c r="B500" s="10"/>
      <c r="C500" s="10"/>
      <c r="D500" s="18">
        <v>483</v>
      </c>
      <c r="E500" s="21">
        <f t="shared" si="29"/>
        <v>11016199013</v>
      </c>
      <c r="F500" s="21">
        <f t="shared" si="30"/>
        <v>5673342491696</v>
      </c>
      <c r="G500" s="21">
        <f t="shared" si="31"/>
        <v>3985660976</v>
      </c>
      <c r="H500" s="22">
        <f t="shared" si="32"/>
        <v>0.11599800130352378</v>
      </c>
      <c r="I500" s="10"/>
    </row>
    <row r="501" spans="2:9" x14ac:dyDescent="0.25">
      <c r="B501" s="10"/>
      <c r="C501" s="10"/>
      <c r="D501" s="18">
        <v>484</v>
      </c>
      <c r="E501" s="21">
        <f t="shared" si="29"/>
        <v>3985660976</v>
      </c>
      <c r="F501" s="21">
        <f t="shared" si="30"/>
        <v>2052615402641</v>
      </c>
      <c r="G501" s="21">
        <f t="shared" si="31"/>
        <v>25390838929</v>
      </c>
      <c r="H501" s="22">
        <f t="shared" si="32"/>
        <v>0.73897067134384997</v>
      </c>
      <c r="I501" s="10"/>
    </row>
    <row r="502" spans="2:9" x14ac:dyDescent="0.25">
      <c r="B502" s="10"/>
      <c r="C502" s="10"/>
      <c r="D502" s="18">
        <v>485</v>
      </c>
      <c r="E502" s="21">
        <f t="shared" ref="E502:E565" si="33">G501</f>
        <v>25390838929</v>
      </c>
      <c r="F502" s="21">
        <f t="shared" si="30"/>
        <v>13076282048436</v>
      </c>
      <c r="G502" s="21">
        <f t="shared" si="31"/>
        <v>19581468596</v>
      </c>
      <c r="H502" s="22">
        <f t="shared" si="32"/>
        <v>0.56989574211183935</v>
      </c>
      <c r="I502" s="10"/>
    </row>
    <row r="503" spans="2:9" x14ac:dyDescent="0.25">
      <c r="B503" s="10"/>
      <c r="C503" s="10"/>
      <c r="D503" s="18">
        <v>486</v>
      </c>
      <c r="E503" s="21">
        <f t="shared" si="33"/>
        <v>19581468596</v>
      </c>
      <c r="F503" s="21">
        <f t="shared" si="30"/>
        <v>10084456326941</v>
      </c>
      <c r="G503" s="21">
        <f t="shared" si="31"/>
        <v>17052985117</v>
      </c>
      <c r="H503" s="22">
        <f t="shared" si="32"/>
        <v>0.49630718762637116</v>
      </c>
      <c r="I503" s="10"/>
    </row>
    <row r="504" spans="2:9" x14ac:dyDescent="0.25">
      <c r="B504" s="10"/>
      <c r="C504" s="10"/>
      <c r="D504" s="18">
        <v>487</v>
      </c>
      <c r="E504" s="21">
        <f t="shared" si="33"/>
        <v>17052985117</v>
      </c>
      <c r="F504" s="21">
        <f t="shared" si="30"/>
        <v>8782287335256</v>
      </c>
      <c r="G504" s="21">
        <f t="shared" si="31"/>
        <v>20554051416</v>
      </c>
      <c r="H504" s="22">
        <f t="shared" si="32"/>
        <v>0.59820162761025131</v>
      </c>
      <c r="I504" s="10"/>
    </row>
    <row r="505" spans="2:9" x14ac:dyDescent="0.25">
      <c r="B505" s="10"/>
      <c r="C505" s="10"/>
      <c r="D505" s="18">
        <v>488</v>
      </c>
      <c r="E505" s="21">
        <f t="shared" si="33"/>
        <v>20554051416</v>
      </c>
      <c r="F505" s="21">
        <f t="shared" si="30"/>
        <v>10585336479241</v>
      </c>
      <c r="G505" s="21">
        <f t="shared" si="31"/>
        <v>2537061897</v>
      </c>
      <c r="H505" s="22">
        <f t="shared" si="32"/>
        <v>7.3838219308527187E-2</v>
      </c>
      <c r="I505" s="10"/>
    </row>
    <row r="506" spans="2:9" x14ac:dyDescent="0.25">
      <c r="B506" s="10"/>
      <c r="C506" s="10"/>
      <c r="D506" s="18">
        <v>489</v>
      </c>
      <c r="E506" s="21">
        <f t="shared" si="33"/>
        <v>2537061897</v>
      </c>
      <c r="F506" s="21">
        <f t="shared" si="30"/>
        <v>1306586876956</v>
      </c>
      <c r="G506" s="21">
        <f t="shared" si="31"/>
        <v>916818972</v>
      </c>
      <c r="H506" s="22">
        <f t="shared" si="32"/>
        <v>2.6682943920604885E-2</v>
      </c>
      <c r="I506" s="10"/>
    </row>
    <row r="507" spans="2:9" x14ac:dyDescent="0.25">
      <c r="B507" s="10"/>
      <c r="C507" s="10"/>
      <c r="D507" s="18">
        <v>490</v>
      </c>
      <c r="E507" s="21">
        <f t="shared" si="33"/>
        <v>916818972</v>
      </c>
      <c r="F507" s="21">
        <f t="shared" si="30"/>
        <v>472161770581</v>
      </c>
      <c r="G507" s="21">
        <f t="shared" si="31"/>
        <v>25485171797</v>
      </c>
      <c r="H507" s="22">
        <f t="shared" si="32"/>
        <v>0.74171611914061941</v>
      </c>
      <c r="I507" s="10"/>
    </row>
    <row r="508" spans="2:9" x14ac:dyDescent="0.25">
      <c r="B508" s="10"/>
      <c r="C508" s="10"/>
      <c r="D508" s="18">
        <v>491</v>
      </c>
      <c r="E508" s="21">
        <f t="shared" si="33"/>
        <v>25485171797</v>
      </c>
      <c r="F508" s="21">
        <f t="shared" si="30"/>
        <v>13124863475456</v>
      </c>
      <c r="G508" s="21">
        <f t="shared" si="31"/>
        <v>33803157248</v>
      </c>
      <c r="H508" s="22">
        <f t="shared" si="32"/>
        <v>0.98380135744810104</v>
      </c>
      <c r="I508" s="10"/>
    </row>
    <row r="509" spans="2:9" x14ac:dyDescent="0.25">
      <c r="B509" s="10"/>
      <c r="C509" s="10"/>
      <c r="D509" s="18">
        <v>492</v>
      </c>
      <c r="E509" s="21">
        <f t="shared" si="33"/>
        <v>33803157248</v>
      </c>
      <c r="F509" s="21">
        <f t="shared" si="30"/>
        <v>17408625982721</v>
      </c>
      <c r="G509" s="21">
        <f t="shared" si="31"/>
        <v>22598368513</v>
      </c>
      <c r="H509" s="22">
        <f t="shared" si="32"/>
        <v>0.65769908580114134</v>
      </c>
      <c r="I509" s="10"/>
    </row>
    <row r="510" spans="2:9" x14ac:dyDescent="0.25">
      <c r="B510" s="10"/>
      <c r="C510" s="10"/>
      <c r="D510" s="18">
        <v>493</v>
      </c>
      <c r="E510" s="21">
        <f t="shared" si="33"/>
        <v>22598368513</v>
      </c>
      <c r="F510" s="21">
        <f t="shared" si="30"/>
        <v>11638159784196</v>
      </c>
      <c r="G510" s="21">
        <f t="shared" si="31"/>
        <v>24568215812</v>
      </c>
      <c r="H510" s="22">
        <f t="shared" si="32"/>
        <v>0.71502918761689216</v>
      </c>
      <c r="I510" s="10"/>
    </row>
    <row r="511" spans="2:9" x14ac:dyDescent="0.25">
      <c r="B511" s="10"/>
      <c r="C511" s="10"/>
      <c r="D511" s="18">
        <v>494</v>
      </c>
      <c r="E511" s="21">
        <f t="shared" si="33"/>
        <v>24568215812</v>
      </c>
      <c r="F511" s="21">
        <f t="shared" si="30"/>
        <v>12652631143181</v>
      </c>
      <c r="G511" s="21">
        <f t="shared" si="31"/>
        <v>8247423757</v>
      </c>
      <c r="H511" s="22">
        <f t="shared" si="32"/>
        <v>0.24003162272856571</v>
      </c>
      <c r="I511" s="10"/>
    </row>
    <row r="512" spans="2:9" x14ac:dyDescent="0.25">
      <c r="B512" s="10"/>
      <c r="C512" s="10"/>
      <c r="D512" s="18">
        <v>495</v>
      </c>
      <c r="E512" s="21">
        <f t="shared" si="33"/>
        <v>8247423757</v>
      </c>
      <c r="F512" s="21">
        <f t="shared" si="30"/>
        <v>4247423234856</v>
      </c>
      <c r="G512" s="21">
        <f t="shared" si="31"/>
        <v>21175415592</v>
      </c>
      <c r="H512" s="22">
        <f t="shared" si="32"/>
        <v>0.61628570524044335</v>
      </c>
      <c r="I512" s="10"/>
    </row>
    <row r="513" spans="2:9" x14ac:dyDescent="0.25">
      <c r="B513" s="10"/>
      <c r="C513" s="10"/>
      <c r="D513" s="18">
        <v>496</v>
      </c>
      <c r="E513" s="21">
        <f t="shared" si="33"/>
        <v>21175415592</v>
      </c>
      <c r="F513" s="21">
        <f t="shared" si="30"/>
        <v>10905339029881</v>
      </c>
      <c r="G513" s="21">
        <f t="shared" si="31"/>
        <v>13301967225</v>
      </c>
      <c r="H513" s="22">
        <f t="shared" si="32"/>
        <v>0.38713819885742851</v>
      </c>
      <c r="I513" s="10"/>
    </row>
    <row r="514" spans="2:9" x14ac:dyDescent="0.25">
      <c r="B514" s="10"/>
      <c r="C514" s="10"/>
      <c r="D514" s="18">
        <v>497</v>
      </c>
      <c r="E514" s="21">
        <f t="shared" si="33"/>
        <v>13301967225</v>
      </c>
      <c r="F514" s="21">
        <f t="shared" si="30"/>
        <v>6850513120876</v>
      </c>
      <c r="G514" s="21">
        <f t="shared" si="31"/>
        <v>12925185644</v>
      </c>
      <c r="H514" s="22">
        <f t="shared" si="32"/>
        <v>0.37617241160478443</v>
      </c>
      <c r="I514" s="10"/>
    </row>
    <row r="515" spans="2:9" x14ac:dyDescent="0.25">
      <c r="B515" s="10"/>
      <c r="C515" s="10"/>
      <c r="D515" s="18">
        <v>498</v>
      </c>
      <c r="E515" s="21">
        <f t="shared" si="33"/>
        <v>12925185644</v>
      </c>
      <c r="F515" s="21">
        <f t="shared" si="30"/>
        <v>6656470606661</v>
      </c>
      <c r="G515" s="21">
        <f t="shared" si="31"/>
        <v>25041101637</v>
      </c>
      <c r="H515" s="22">
        <f t="shared" si="32"/>
        <v>0.7287919764930848</v>
      </c>
      <c r="I515" s="10"/>
    </row>
    <row r="516" spans="2:9" x14ac:dyDescent="0.25">
      <c r="B516" s="10"/>
      <c r="C516" s="10"/>
      <c r="D516" s="18">
        <v>499</v>
      </c>
      <c r="E516" s="21">
        <f t="shared" si="33"/>
        <v>25041101637</v>
      </c>
      <c r="F516" s="21">
        <f t="shared" si="30"/>
        <v>12896167343056</v>
      </c>
      <c r="G516" s="21">
        <f t="shared" si="31"/>
        <v>11265455056</v>
      </c>
      <c r="H516" s="22">
        <f t="shared" si="32"/>
        <v>0.32786789396777749</v>
      </c>
      <c r="I516" s="10"/>
    </row>
    <row r="517" spans="2:9" x14ac:dyDescent="0.25">
      <c r="B517" s="10"/>
      <c r="C517" s="10"/>
      <c r="D517" s="18">
        <v>500</v>
      </c>
      <c r="E517" s="21">
        <f t="shared" si="33"/>
        <v>11265455056</v>
      </c>
      <c r="F517" s="21">
        <f t="shared" si="30"/>
        <v>5801709353841</v>
      </c>
      <c r="G517" s="21">
        <f t="shared" si="31"/>
        <v>29273308017</v>
      </c>
      <c r="H517" s="22">
        <f t="shared" si="32"/>
        <v>0.8519653934345115</v>
      </c>
      <c r="I517" s="10"/>
    </row>
    <row r="518" spans="2:9" x14ac:dyDescent="0.25">
      <c r="B518" s="10"/>
      <c r="C518" s="10"/>
      <c r="D518" s="18">
        <v>501</v>
      </c>
      <c r="E518" s="21">
        <f t="shared" si="33"/>
        <v>29273308017</v>
      </c>
      <c r="F518" s="21">
        <f t="shared" si="30"/>
        <v>15075753628756</v>
      </c>
      <c r="G518" s="21">
        <f t="shared" si="31"/>
        <v>26188223572</v>
      </c>
      <c r="H518" s="22">
        <f t="shared" si="32"/>
        <v>0.7621776188025251</v>
      </c>
      <c r="I518" s="10"/>
    </row>
    <row r="519" spans="2:9" x14ac:dyDescent="0.25">
      <c r="B519" s="10"/>
      <c r="C519" s="10"/>
      <c r="D519" s="18">
        <v>502</v>
      </c>
      <c r="E519" s="21">
        <f t="shared" si="33"/>
        <v>26188223572</v>
      </c>
      <c r="F519" s="21">
        <f t="shared" si="30"/>
        <v>13486935139581</v>
      </c>
      <c r="G519" s="21">
        <f t="shared" si="31"/>
        <v>17917699325</v>
      </c>
      <c r="H519" s="22">
        <f t="shared" si="32"/>
        <v>0.52147368332953192</v>
      </c>
      <c r="I519" s="10"/>
    </row>
    <row r="520" spans="2:9" x14ac:dyDescent="0.25">
      <c r="B520" s="10"/>
      <c r="C520" s="10"/>
      <c r="D520" s="18">
        <v>503</v>
      </c>
      <c r="E520" s="21">
        <f t="shared" si="33"/>
        <v>17917699325</v>
      </c>
      <c r="F520" s="21">
        <f t="shared" si="30"/>
        <v>9227615152376</v>
      </c>
      <c r="G520" s="21">
        <f t="shared" si="31"/>
        <v>19205269752</v>
      </c>
      <c r="H520" s="22">
        <f t="shared" si="32"/>
        <v>0.55894691473804414</v>
      </c>
      <c r="I520" s="10"/>
    </row>
    <row r="521" spans="2:9" x14ac:dyDescent="0.25">
      <c r="B521" s="10"/>
      <c r="C521" s="10"/>
      <c r="D521" s="18">
        <v>504</v>
      </c>
      <c r="E521" s="21">
        <f t="shared" si="33"/>
        <v>19205269752</v>
      </c>
      <c r="F521" s="21">
        <f t="shared" si="30"/>
        <v>9890713922281</v>
      </c>
      <c r="G521" s="21">
        <f t="shared" si="31"/>
        <v>29469010665</v>
      </c>
      <c r="H521" s="22">
        <f t="shared" si="32"/>
        <v>0.85766109012183733</v>
      </c>
      <c r="I521" s="10"/>
    </row>
    <row r="522" spans="2:9" x14ac:dyDescent="0.25">
      <c r="B522" s="10"/>
      <c r="C522" s="10"/>
      <c r="D522" s="18">
        <v>505</v>
      </c>
      <c r="E522" s="21">
        <f t="shared" si="33"/>
        <v>29469010665</v>
      </c>
      <c r="F522" s="21">
        <f t="shared" si="30"/>
        <v>15176540492476</v>
      </c>
      <c r="G522" s="21">
        <f t="shared" si="31"/>
        <v>23895872188</v>
      </c>
      <c r="H522" s="22">
        <f t="shared" si="32"/>
        <v>0.69546141277533025</v>
      </c>
      <c r="I522" s="10"/>
    </row>
    <row r="523" spans="2:9" x14ac:dyDescent="0.25">
      <c r="B523" s="10"/>
      <c r="C523" s="10"/>
      <c r="D523" s="18">
        <v>506</v>
      </c>
      <c r="E523" s="21">
        <f t="shared" si="33"/>
        <v>23895872188</v>
      </c>
      <c r="F523" s="21">
        <f t="shared" si="30"/>
        <v>12306374176821</v>
      </c>
      <c r="G523" s="21">
        <f t="shared" si="31"/>
        <v>5587841077</v>
      </c>
      <c r="H523" s="22">
        <f t="shared" si="32"/>
        <v>0.16262757932418026</v>
      </c>
      <c r="I523" s="10"/>
    </row>
    <row r="524" spans="2:9" x14ac:dyDescent="0.25">
      <c r="B524" s="10"/>
      <c r="C524" s="10"/>
      <c r="D524" s="18">
        <v>507</v>
      </c>
      <c r="E524" s="21">
        <f t="shared" si="33"/>
        <v>5587841077</v>
      </c>
      <c r="F524" s="21">
        <f t="shared" si="30"/>
        <v>2877738154656</v>
      </c>
      <c r="G524" s="21">
        <f t="shared" si="31"/>
        <v>25879870112</v>
      </c>
      <c r="H524" s="22">
        <f t="shared" si="32"/>
        <v>0.75320335198193789</v>
      </c>
      <c r="I524" s="10"/>
    </row>
    <row r="525" spans="2:9" x14ac:dyDescent="0.25">
      <c r="B525" s="10"/>
      <c r="C525" s="10"/>
      <c r="D525" s="18">
        <v>508</v>
      </c>
      <c r="E525" s="21">
        <f t="shared" si="33"/>
        <v>25879870112</v>
      </c>
      <c r="F525" s="21">
        <f t="shared" si="30"/>
        <v>13328133107681</v>
      </c>
      <c r="G525" s="21">
        <f t="shared" si="31"/>
        <v>30914359265</v>
      </c>
      <c r="H525" s="22">
        <f t="shared" si="32"/>
        <v>0.89972627072711475</v>
      </c>
      <c r="I525" s="10"/>
    </row>
    <row r="526" spans="2:9" x14ac:dyDescent="0.25">
      <c r="B526" s="10"/>
      <c r="C526" s="10"/>
      <c r="D526" s="18">
        <v>509</v>
      </c>
      <c r="E526" s="21">
        <f t="shared" si="33"/>
        <v>30914359265</v>
      </c>
      <c r="F526" s="21">
        <f t="shared" si="30"/>
        <v>15920895021476</v>
      </c>
      <c r="G526" s="21">
        <f t="shared" si="31"/>
        <v>12336157092</v>
      </c>
      <c r="H526" s="22">
        <f t="shared" si="32"/>
        <v>0.35902942449320108</v>
      </c>
      <c r="I526" s="10"/>
    </row>
    <row r="527" spans="2:9" x14ac:dyDescent="0.25">
      <c r="B527" s="10"/>
      <c r="C527" s="10"/>
      <c r="D527" s="18">
        <v>510</v>
      </c>
      <c r="E527" s="21">
        <f t="shared" si="33"/>
        <v>12336157092</v>
      </c>
      <c r="F527" s="21">
        <f t="shared" si="30"/>
        <v>6353120902381</v>
      </c>
      <c r="G527" s="21">
        <f t="shared" si="31"/>
        <v>30929042669</v>
      </c>
      <c r="H527" s="22">
        <f t="shared" si="32"/>
        <v>0.90015361402765848</v>
      </c>
      <c r="I527" s="10"/>
    </row>
    <row r="528" spans="2:9" x14ac:dyDescent="0.25">
      <c r="B528" s="10"/>
      <c r="C528" s="10"/>
      <c r="D528" s="18">
        <v>511</v>
      </c>
      <c r="E528" s="21">
        <f t="shared" si="33"/>
        <v>30929042669</v>
      </c>
      <c r="F528" s="21">
        <f t="shared" si="30"/>
        <v>15928456974536</v>
      </c>
      <c r="G528" s="21">
        <f t="shared" si="31"/>
        <v>19898110152</v>
      </c>
      <c r="H528" s="22">
        <f t="shared" si="32"/>
        <v>0.5791112242732197</v>
      </c>
      <c r="I528" s="10"/>
    </row>
    <row r="529" spans="2:9" x14ac:dyDescent="0.25">
      <c r="B529" s="10"/>
      <c r="C529" s="10"/>
      <c r="D529" s="18">
        <v>512</v>
      </c>
      <c r="E529" s="21">
        <f t="shared" si="33"/>
        <v>19898110152</v>
      </c>
      <c r="F529" s="21">
        <f t="shared" si="30"/>
        <v>10247526728281</v>
      </c>
      <c r="G529" s="21">
        <f t="shared" si="31"/>
        <v>8324694617</v>
      </c>
      <c r="H529" s="22">
        <f t="shared" si="32"/>
        <v>0.24228050073725171</v>
      </c>
      <c r="I529" s="10"/>
    </row>
    <row r="530" spans="2:9" x14ac:dyDescent="0.25">
      <c r="B530" s="10"/>
      <c r="C530" s="10"/>
      <c r="D530" s="18">
        <v>513</v>
      </c>
      <c r="E530" s="21">
        <f t="shared" si="33"/>
        <v>8324694617</v>
      </c>
      <c r="F530" s="21">
        <f t="shared" si="30"/>
        <v>4287217727756</v>
      </c>
      <c r="G530" s="21">
        <f t="shared" si="31"/>
        <v>26610170124</v>
      </c>
      <c r="H530" s="22">
        <f t="shared" si="32"/>
        <v>0.77445787971373647</v>
      </c>
      <c r="I530" s="10"/>
    </row>
    <row r="531" spans="2:9" x14ac:dyDescent="0.25">
      <c r="B531" s="10"/>
      <c r="C531" s="10"/>
      <c r="D531" s="18">
        <v>514</v>
      </c>
      <c r="E531" s="21">
        <f t="shared" si="33"/>
        <v>26610170124</v>
      </c>
      <c r="F531" s="21">
        <f t="shared" ref="F531:F594" si="34">E$7 * E531 + H$7</f>
        <v>13704237613861</v>
      </c>
      <c r="G531" s="21">
        <f t="shared" ref="G531:G594" si="35">MOD(F531,F$7)</f>
        <v>29061743397</v>
      </c>
      <c r="H531" s="22">
        <f t="shared" ref="H531:H594" si="36">G531/F$7</f>
        <v>0.84580805260338821</v>
      </c>
      <c r="I531" s="10"/>
    </row>
    <row r="532" spans="2:9" x14ac:dyDescent="0.25">
      <c r="B532" s="10"/>
      <c r="C532" s="10"/>
      <c r="D532" s="18">
        <v>515</v>
      </c>
      <c r="E532" s="21">
        <f t="shared" si="33"/>
        <v>29061743397</v>
      </c>
      <c r="F532" s="21">
        <f t="shared" si="34"/>
        <v>14966797849456</v>
      </c>
      <c r="G532" s="21">
        <f t="shared" si="35"/>
        <v>20311659376</v>
      </c>
      <c r="H532" s="22">
        <f t="shared" si="36"/>
        <v>0.59114709077402949</v>
      </c>
      <c r="I532" s="10"/>
    </row>
    <row r="533" spans="2:9" x14ac:dyDescent="0.25">
      <c r="B533" s="10"/>
      <c r="C533" s="10"/>
      <c r="D533" s="18">
        <v>516</v>
      </c>
      <c r="E533" s="21">
        <f t="shared" si="33"/>
        <v>20311659376</v>
      </c>
      <c r="F533" s="21">
        <f t="shared" si="34"/>
        <v>10460504578641</v>
      </c>
      <c r="G533" s="21">
        <f t="shared" si="35"/>
        <v>15144114769</v>
      </c>
      <c r="H533" s="22">
        <f t="shared" si="36"/>
        <v>0.4407517486542929</v>
      </c>
      <c r="I533" s="10"/>
    </row>
    <row r="534" spans="2:9" x14ac:dyDescent="0.25">
      <c r="B534" s="10"/>
      <c r="C534" s="10"/>
      <c r="D534" s="18">
        <v>517</v>
      </c>
      <c r="E534" s="21">
        <f t="shared" si="33"/>
        <v>15144114769</v>
      </c>
      <c r="F534" s="21">
        <f t="shared" si="34"/>
        <v>7799219106036</v>
      </c>
      <c r="G534" s="21">
        <f t="shared" si="35"/>
        <v>33918234868</v>
      </c>
      <c r="H534" s="22">
        <f t="shared" si="36"/>
        <v>0.98715055698994547</v>
      </c>
      <c r="I534" s="10"/>
    </row>
    <row r="535" spans="2:9" x14ac:dyDescent="0.25">
      <c r="B535" s="10"/>
      <c r="C535" s="10"/>
      <c r="D535" s="18">
        <v>518</v>
      </c>
      <c r="E535" s="21">
        <f t="shared" si="33"/>
        <v>33918234868</v>
      </c>
      <c r="F535" s="21">
        <f t="shared" si="34"/>
        <v>17467890957021</v>
      </c>
      <c r="G535" s="21">
        <f t="shared" si="35"/>
        <v>13143866077</v>
      </c>
      <c r="H535" s="22">
        <f t="shared" si="36"/>
        <v>0.38253684985102154</v>
      </c>
      <c r="I535" s="10"/>
    </row>
    <row r="536" spans="2:9" x14ac:dyDescent="0.25">
      <c r="B536" s="10"/>
      <c r="C536" s="10"/>
      <c r="D536" s="18">
        <v>519</v>
      </c>
      <c r="E536" s="21">
        <f t="shared" si="33"/>
        <v>13143866077</v>
      </c>
      <c r="F536" s="21">
        <f t="shared" si="34"/>
        <v>6769091029656</v>
      </c>
      <c r="G536" s="21">
        <f t="shared" si="35"/>
        <v>222571160</v>
      </c>
      <c r="H536" s="22">
        <f t="shared" si="36"/>
        <v>6.4776733051985502E-3</v>
      </c>
      <c r="I536" s="10"/>
    </row>
    <row r="537" spans="2:9" x14ac:dyDescent="0.25">
      <c r="B537" s="10"/>
      <c r="C537" s="10"/>
      <c r="D537" s="18">
        <v>520</v>
      </c>
      <c r="E537" s="21">
        <f t="shared" si="33"/>
        <v>222571160</v>
      </c>
      <c r="F537" s="21">
        <f t="shared" si="34"/>
        <v>114624147401</v>
      </c>
      <c r="G537" s="21">
        <f t="shared" si="35"/>
        <v>11544932297</v>
      </c>
      <c r="H537" s="22">
        <f t="shared" si="36"/>
        <v>0.3360017522063572</v>
      </c>
      <c r="I537" s="10"/>
    </row>
    <row r="538" spans="2:9" x14ac:dyDescent="0.25">
      <c r="B538" s="10"/>
      <c r="C538" s="10"/>
      <c r="D538" s="18">
        <v>521</v>
      </c>
      <c r="E538" s="21">
        <f t="shared" si="33"/>
        <v>11544932297</v>
      </c>
      <c r="F538" s="21">
        <f t="shared" si="34"/>
        <v>5945640132956</v>
      </c>
      <c r="G538" s="21">
        <f t="shared" si="35"/>
        <v>1405395292</v>
      </c>
      <c r="H538" s="22">
        <f t="shared" si="36"/>
        <v>4.0902386303059757E-2</v>
      </c>
      <c r="I538" s="10"/>
    </row>
    <row r="539" spans="2:9" x14ac:dyDescent="0.25">
      <c r="B539" s="10"/>
      <c r="C539" s="10"/>
      <c r="D539" s="18">
        <v>522</v>
      </c>
      <c r="E539" s="21">
        <f t="shared" si="33"/>
        <v>1405395292</v>
      </c>
      <c r="F539" s="21">
        <f t="shared" si="34"/>
        <v>723778575381</v>
      </c>
      <c r="G539" s="21">
        <f t="shared" si="35"/>
        <v>2224069653</v>
      </c>
      <c r="H539" s="22">
        <f t="shared" si="36"/>
        <v>6.472894610487856E-2</v>
      </c>
      <c r="I539" s="10"/>
    </row>
    <row r="540" spans="2:9" x14ac:dyDescent="0.25">
      <c r="B540" s="10"/>
      <c r="C540" s="10"/>
      <c r="D540" s="18">
        <v>523</v>
      </c>
      <c r="E540" s="21">
        <f t="shared" si="33"/>
        <v>2224069653</v>
      </c>
      <c r="F540" s="21">
        <f t="shared" si="34"/>
        <v>1145395871296</v>
      </c>
      <c r="G540" s="21">
        <f t="shared" si="35"/>
        <v>11524505152</v>
      </c>
      <c r="H540" s="22">
        <f t="shared" si="36"/>
        <v>0.33540724404156208</v>
      </c>
      <c r="I540" s="10"/>
    </row>
    <row r="541" spans="2:9" x14ac:dyDescent="0.25">
      <c r="B541" s="10"/>
      <c r="C541" s="10"/>
      <c r="D541" s="18">
        <v>524</v>
      </c>
      <c r="E541" s="21">
        <f t="shared" si="33"/>
        <v>11524505152</v>
      </c>
      <c r="F541" s="21">
        <f t="shared" si="34"/>
        <v>5935120153281</v>
      </c>
      <c r="G541" s="21">
        <f t="shared" si="35"/>
        <v>25245153985</v>
      </c>
      <c r="H541" s="22">
        <f t="shared" si="36"/>
        <v>0.73473068143357523</v>
      </c>
      <c r="I541" s="10"/>
    </row>
    <row r="542" spans="2:9" x14ac:dyDescent="0.25">
      <c r="B542" s="10"/>
      <c r="C542" s="10"/>
      <c r="D542" s="18">
        <v>525</v>
      </c>
      <c r="E542" s="21">
        <f t="shared" si="33"/>
        <v>25245153985</v>
      </c>
      <c r="F542" s="21">
        <f t="shared" si="34"/>
        <v>13001254302276</v>
      </c>
      <c r="G542" s="21">
        <f t="shared" si="35"/>
        <v>13273199172</v>
      </c>
      <c r="H542" s="22">
        <f t="shared" si="36"/>
        <v>0.38630093832034618</v>
      </c>
      <c r="I542" s="10"/>
    </row>
    <row r="543" spans="2:9" x14ac:dyDescent="0.25">
      <c r="B543" s="10"/>
      <c r="C543" s="10"/>
      <c r="D543" s="18">
        <v>526</v>
      </c>
      <c r="E543" s="21">
        <f t="shared" si="33"/>
        <v>13273199172</v>
      </c>
      <c r="F543" s="21">
        <f t="shared" si="34"/>
        <v>6835697573581</v>
      </c>
      <c r="G543" s="21">
        <f t="shared" si="35"/>
        <v>32469376717</v>
      </c>
      <c r="H543" s="22">
        <f t="shared" si="36"/>
        <v>0.94498323500738479</v>
      </c>
      <c r="I543" s="10"/>
    </row>
    <row r="544" spans="2:9" x14ac:dyDescent="0.25">
      <c r="B544" s="10"/>
      <c r="C544" s="10"/>
      <c r="D544" s="18">
        <v>527</v>
      </c>
      <c r="E544" s="21">
        <f t="shared" si="33"/>
        <v>32469376717</v>
      </c>
      <c r="F544" s="21">
        <f t="shared" si="34"/>
        <v>16721729009256</v>
      </c>
      <c r="G544" s="21">
        <f t="shared" si="35"/>
        <v>22896162408</v>
      </c>
      <c r="H544" s="22">
        <f t="shared" si="36"/>
        <v>0.6663660288322717</v>
      </c>
      <c r="I544" s="10"/>
    </row>
    <row r="545" spans="2:9" x14ac:dyDescent="0.25">
      <c r="B545" s="10"/>
      <c r="C545" s="10"/>
      <c r="D545" s="18">
        <v>528</v>
      </c>
      <c r="E545" s="21">
        <f t="shared" si="33"/>
        <v>22896162408</v>
      </c>
      <c r="F545" s="21">
        <f t="shared" si="34"/>
        <v>11791523640121</v>
      </c>
      <c r="G545" s="21">
        <f t="shared" si="35"/>
        <v>6133379897</v>
      </c>
      <c r="H545" s="22">
        <f t="shared" si="36"/>
        <v>0.17850484864902683</v>
      </c>
      <c r="I545" s="10"/>
    </row>
    <row r="546" spans="2:9" x14ac:dyDescent="0.25">
      <c r="B546" s="10"/>
      <c r="C546" s="10"/>
      <c r="D546" s="18">
        <v>529</v>
      </c>
      <c r="E546" s="21">
        <f t="shared" si="33"/>
        <v>6133379897</v>
      </c>
      <c r="F546" s="21">
        <f t="shared" si="34"/>
        <v>3158690646956</v>
      </c>
      <c r="G546" s="21">
        <f t="shared" si="35"/>
        <v>31954455468</v>
      </c>
      <c r="H546" s="22">
        <f t="shared" si="36"/>
        <v>0.92999705427791923</v>
      </c>
      <c r="I546" s="10"/>
    </row>
    <row r="547" spans="2:9" x14ac:dyDescent="0.25">
      <c r="B547" s="10"/>
      <c r="C547" s="10"/>
      <c r="D547" s="18">
        <v>530</v>
      </c>
      <c r="E547" s="21">
        <f t="shared" si="33"/>
        <v>31954455468</v>
      </c>
      <c r="F547" s="21">
        <f t="shared" si="34"/>
        <v>16456544566021</v>
      </c>
      <c r="G547" s="21">
        <f t="shared" si="35"/>
        <v>32589626117</v>
      </c>
      <c r="H547" s="22">
        <f t="shared" si="36"/>
        <v>0.94848295315750875</v>
      </c>
      <c r="I547" s="10"/>
    </row>
    <row r="548" spans="2:9" x14ac:dyDescent="0.25">
      <c r="B548" s="10"/>
      <c r="C548" s="10"/>
      <c r="D548" s="18">
        <v>531</v>
      </c>
      <c r="E548" s="21">
        <f t="shared" si="33"/>
        <v>32589626117</v>
      </c>
      <c r="F548" s="21">
        <f t="shared" si="34"/>
        <v>16783657450256</v>
      </c>
      <c r="G548" s="21">
        <f t="shared" si="35"/>
        <v>16105126672</v>
      </c>
      <c r="H548" s="22">
        <f t="shared" si="36"/>
        <v>0.46872087614610791</v>
      </c>
      <c r="I548" s="10"/>
    </row>
    <row r="549" spans="2:9" x14ac:dyDescent="0.25">
      <c r="B549" s="10"/>
      <c r="C549" s="10"/>
      <c r="D549" s="18">
        <v>532</v>
      </c>
      <c r="E549" s="21">
        <f t="shared" si="33"/>
        <v>16105126672</v>
      </c>
      <c r="F549" s="21">
        <f t="shared" si="34"/>
        <v>8294140236081</v>
      </c>
      <c r="G549" s="21">
        <f t="shared" si="35"/>
        <v>13443289393</v>
      </c>
      <c r="H549" s="22">
        <f t="shared" si="36"/>
        <v>0.39125121527467854</v>
      </c>
      <c r="I549" s="10"/>
    </row>
    <row r="550" spans="2:9" x14ac:dyDescent="0.25">
      <c r="B550" s="10"/>
      <c r="C550" s="10"/>
      <c r="D550" s="18">
        <v>533</v>
      </c>
      <c r="E550" s="21">
        <f t="shared" si="33"/>
        <v>13443289393</v>
      </c>
      <c r="F550" s="21">
        <f t="shared" si="34"/>
        <v>6923294037396</v>
      </c>
      <c r="G550" s="21">
        <f t="shared" si="35"/>
        <v>16986625428</v>
      </c>
      <c r="H550" s="22">
        <f t="shared" si="36"/>
        <v>0.49437586648855358</v>
      </c>
      <c r="I550" s="10"/>
    </row>
    <row r="551" spans="2:9" x14ac:dyDescent="0.25">
      <c r="B551" s="10"/>
      <c r="C551" s="10"/>
      <c r="D551" s="18">
        <v>534</v>
      </c>
      <c r="E551" s="21">
        <f t="shared" si="33"/>
        <v>16986625428</v>
      </c>
      <c r="F551" s="21">
        <f t="shared" si="34"/>
        <v>8748112095421</v>
      </c>
      <c r="G551" s="21">
        <f t="shared" si="35"/>
        <v>20738549949</v>
      </c>
      <c r="H551" s="22">
        <f t="shared" si="36"/>
        <v>0.6035712416341994</v>
      </c>
      <c r="I551" s="10"/>
    </row>
    <row r="552" spans="2:9" x14ac:dyDescent="0.25">
      <c r="B552" s="10"/>
      <c r="C552" s="10"/>
      <c r="D552" s="18">
        <v>535</v>
      </c>
      <c r="E552" s="21">
        <f t="shared" si="33"/>
        <v>20738549949</v>
      </c>
      <c r="F552" s="21">
        <f t="shared" si="34"/>
        <v>10680353223736</v>
      </c>
      <c r="G552" s="21">
        <f t="shared" si="35"/>
        <v>28834329656</v>
      </c>
      <c r="H552" s="22">
        <f t="shared" si="36"/>
        <v>0.83918944164179265</v>
      </c>
      <c r="I552" s="10"/>
    </row>
    <row r="553" spans="2:9" x14ac:dyDescent="0.25">
      <c r="B553" s="10"/>
      <c r="C553" s="10"/>
      <c r="D553" s="18">
        <v>536</v>
      </c>
      <c r="E553" s="21">
        <f t="shared" si="33"/>
        <v>28834329656</v>
      </c>
      <c r="F553" s="21">
        <f t="shared" si="34"/>
        <v>14849679772841</v>
      </c>
      <c r="G553" s="21">
        <f t="shared" si="35"/>
        <v>6272797865</v>
      </c>
      <c r="H553" s="22">
        <f t="shared" si="36"/>
        <v>0.18256244555232115</v>
      </c>
      <c r="I553" s="10"/>
    </row>
    <row r="554" spans="2:9" x14ac:dyDescent="0.25">
      <c r="B554" s="10"/>
      <c r="C554" s="10"/>
      <c r="D554" s="18">
        <v>537</v>
      </c>
      <c r="E554" s="21">
        <f t="shared" si="33"/>
        <v>6272797865</v>
      </c>
      <c r="F554" s="21">
        <f t="shared" si="34"/>
        <v>3230490900476</v>
      </c>
      <c r="G554" s="21">
        <f t="shared" si="35"/>
        <v>675493884</v>
      </c>
      <c r="H554" s="22">
        <f t="shared" si="36"/>
        <v>1.9659459474496543E-2</v>
      </c>
      <c r="I554" s="10"/>
    </row>
    <row r="555" spans="2:9" x14ac:dyDescent="0.25">
      <c r="B555" s="10"/>
      <c r="C555" s="10"/>
      <c r="D555" s="18">
        <v>538</v>
      </c>
      <c r="E555" s="21">
        <f t="shared" si="33"/>
        <v>675493884</v>
      </c>
      <c r="F555" s="21">
        <f t="shared" si="34"/>
        <v>347879350261</v>
      </c>
      <c r="G555" s="21">
        <f t="shared" si="35"/>
        <v>4281966581</v>
      </c>
      <c r="H555" s="22">
        <f t="shared" si="36"/>
        <v>0.12462162939482369</v>
      </c>
      <c r="I555" s="10"/>
    </row>
    <row r="556" spans="2:9" x14ac:dyDescent="0.25">
      <c r="B556" s="10"/>
      <c r="C556" s="10"/>
      <c r="D556" s="18">
        <v>539</v>
      </c>
      <c r="E556" s="21">
        <f t="shared" si="33"/>
        <v>4281966581</v>
      </c>
      <c r="F556" s="21">
        <f t="shared" si="34"/>
        <v>2205212789216</v>
      </c>
      <c r="G556" s="21">
        <f t="shared" si="35"/>
        <v>6189533664</v>
      </c>
      <c r="H556" s="22">
        <f t="shared" si="36"/>
        <v>0.18013913836330175</v>
      </c>
      <c r="I556" s="10"/>
    </row>
    <row r="557" spans="2:9" x14ac:dyDescent="0.25">
      <c r="B557" s="10"/>
      <c r="C557" s="10"/>
      <c r="D557" s="18">
        <v>540</v>
      </c>
      <c r="E557" s="21">
        <f t="shared" si="33"/>
        <v>6189533664</v>
      </c>
      <c r="F557" s="21">
        <f t="shared" si="34"/>
        <v>3187609836961</v>
      </c>
      <c r="G557" s="21">
        <f t="shared" si="35"/>
        <v>26513907105</v>
      </c>
      <c r="H557" s="22">
        <f t="shared" si="36"/>
        <v>0.77165625712950714</v>
      </c>
      <c r="I557" s="10"/>
    </row>
    <row r="558" spans="2:9" x14ac:dyDescent="0.25">
      <c r="B558" s="10"/>
      <c r="C558" s="10"/>
      <c r="D558" s="18">
        <v>541</v>
      </c>
      <c r="E558" s="21">
        <f t="shared" si="33"/>
        <v>26513907105</v>
      </c>
      <c r="F558" s="21">
        <f t="shared" si="34"/>
        <v>13654662159076</v>
      </c>
      <c r="G558" s="21">
        <f t="shared" si="35"/>
        <v>13846026980</v>
      </c>
      <c r="H558" s="22">
        <f t="shared" si="36"/>
        <v>0.40297242172528058</v>
      </c>
      <c r="I558" s="10"/>
    </row>
    <row r="559" spans="2:9" x14ac:dyDescent="0.25">
      <c r="B559" s="10"/>
      <c r="C559" s="10"/>
      <c r="D559" s="18">
        <v>542</v>
      </c>
      <c r="E559" s="21">
        <f t="shared" si="33"/>
        <v>13846026980</v>
      </c>
      <c r="F559" s="21">
        <f t="shared" si="34"/>
        <v>7130703894701</v>
      </c>
      <c r="G559" s="21">
        <f t="shared" si="35"/>
        <v>18238052525</v>
      </c>
      <c r="H559" s="22">
        <f t="shared" si="36"/>
        <v>0.53079718854860403</v>
      </c>
      <c r="I559" s="10"/>
    </row>
    <row r="560" spans="2:9" x14ac:dyDescent="0.25">
      <c r="B560" s="10"/>
      <c r="C560" s="10"/>
      <c r="D560" s="18">
        <v>543</v>
      </c>
      <c r="E560" s="21">
        <f t="shared" si="33"/>
        <v>18238052525</v>
      </c>
      <c r="F560" s="21">
        <f t="shared" si="34"/>
        <v>9392597050376</v>
      </c>
      <c r="G560" s="21">
        <f t="shared" si="35"/>
        <v>12388475912</v>
      </c>
      <c r="H560" s="22">
        <f t="shared" si="36"/>
        <v>0.36055210256017745</v>
      </c>
      <c r="I560" s="10"/>
    </row>
    <row r="561" spans="2:9" x14ac:dyDescent="0.25">
      <c r="B561" s="10"/>
      <c r="C561" s="10"/>
      <c r="D561" s="18">
        <v>544</v>
      </c>
      <c r="E561" s="21">
        <f t="shared" si="33"/>
        <v>12388475912</v>
      </c>
      <c r="F561" s="21">
        <f t="shared" si="34"/>
        <v>6380065094681</v>
      </c>
      <c r="G561" s="21">
        <f t="shared" si="35"/>
        <v>23513496601</v>
      </c>
      <c r="H561" s="22">
        <f t="shared" si="36"/>
        <v>0.68433281852048822</v>
      </c>
      <c r="I561" s="10"/>
    </row>
    <row r="562" spans="2:9" x14ac:dyDescent="0.25">
      <c r="B562" s="10"/>
      <c r="C562" s="10"/>
      <c r="D562" s="18">
        <v>545</v>
      </c>
      <c r="E562" s="21">
        <f t="shared" si="33"/>
        <v>23513496601</v>
      </c>
      <c r="F562" s="21">
        <f t="shared" si="34"/>
        <v>12109450749516</v>
      </c>
      <c r="G562" s="21">
        <f t="shared" si="35"/>
        <v>14822843980</v>
      </c>
      <c r="H562" s="22">
        <f t="shared" si="36"/>
        <v>0.43140153808053583</v>
      </c>
      <c r="I562" s="10"/>
    </row>
    <row r="563" spans="2:9" x14ac:dyDescent="0.25">
      <c r="B563" s="10"/>
      <c r="C563" s="10"/>
      <c r="D563" s="18">
        <v>546</v>
      </c>
      <c r="E563" s="21">
        <f t="shared" si="33"/>
        <v>14822843980</v>
      </c>
      <c r="F563" s="21">
        <f t="shared" si="34"/>
        <v>7633764649701</v>
      </c>
      <c r="G563" s="21">
        <f t="shared" si="35"/>
        <v>5902732005</v>
      </c>
      <c r="H563" s="22">
        <f t="shared" si="36"/>
        <v>0.1717921115050558</v>
      </c>
      <c r="I563" s="10"/>
    </row>
    <row r="564" spans="2:9" x14ac:dyDescent="0.25">
      <c r="B564" s="10"/>
      <c r="C564" s="10"/>
      <c r="D564" s="18">
        <v>547</v>
      </c>
      <c r="E564" s="21">
        <f t="shared" si="33"/>
        <v>5902732005</v>
      </c>
      <c r="F564" s="21">
        <f t="shared" si="34"/>
        <v>3039906982576</v>
      </c>
      <c r="G564" s="21">
        <f t="shared" si="35"/>
        <v>16250006192</v>
      </c>
      <c r="H564" s="22">
        <f t="shared" si="36"/>
        <v>0.47293742513284087</v>
      </c>
      <c r="I564" s="10"/>
    </row>
    <row r="565" spans="2:9" x14ac:dyDescent="0.25">
      <c r="B565" s="10"/>
      <c r="C565" s="10"/>
      <c r="D565" s="18">
        <v>548</v>
      </c>
      <c r="E565" s="21">
        <f t="shared" si="33"/>
        <v>16250006192</v>
      </c>
      <c r="F565" s="21">
        <f t="shared" si="34"/>
        <v>8368753188881</v>
      </c>
      <c r="G565" s="21">
        <f t="shared" si="35"/>
        <v>19336765457</v>
      </c>
      <c r="H565" s="22">
        <f t="shared" si="36"/>
        <v>0.56277394344215281</v>
      </c>
      <c r="I565" s="10"/>
    </row>
    <row r="566" spans="2:9" x14ac:dyDescent="0.25">
      <c r="B566" s="10"/>
      <c r="C566" s="10"/>
      <c r="D566" s="18">
        <v>549</v>
      </c>
      <c r="E566" s="21">
        <f t="shared" ref="E566:E629" si="37">G565</f>
        <v>19336765457</v>
      </c>
      <c r="F566" s="21">
        <f t="shared" si="34"/>
        <v>9958434210356</v>
      </c>
      <c r="G566" s="21">
        <f t="shared" si="35"/>
        <v>28469822004</v>
      </c>
      <c r="H566" s="22">
        <f t="shared" si="36"/>
        <v>0.82858087273780257</v>
      </c>
      <c r="I566" s="10"/>
    </row>
    <row r="567" spans="2:9" x14ac:dyDescent="0.25">
      <c r="B567" s="10"/>
      <c r="C567" s="10"/>
      <c r="D567" s="18">
        <v>550</v>
      </c>
      <c r="E567" s="21">
        <f t="shared" si="37"/>
        <v>28469822004</v>
      </c>
      <c r="F567" s="21">
        <f t="shared" si="34"/>
        <v>14661958332061</v>
      </c>
      <c r="G567" s="21">
        <f t="shared" si="35"/>
        <v>24709787293</v>
      </c>
      <c r="H567" s="22">
        <f t="shared" si="36"/>
        <v>0.71914945999742486</v>
      </c>
      <c r="I567" s="10"/>
    </row>
    <row r="568" spans="2:9" x14ac:dyDescent="0.25">
      <c r="B568" s="10"/>
      <c r="C568" s="10"/>
      <c r="D568" s="18">
        <v>551</v>
      </c>
      <c r="E568" s="21">
        <f t="shared" si="37"/>
        <v>24709787293</v>
      </c>
      <c r="F568" s="21">
        <f t="shared" si="34"/>
        <v>12725540455896</v>
      </c>
      <c r="G568" s="21">
        <f t="shared" si="35"/>
        <v>12437259736</v>
      </c>
      <c r="H568" s="22">
        <f t="shared" si="36"/>
        <v>0.36197189870290458</v>
      </c>
      <c r="I568" s="10"/>
    </row>
    <row r="569" spans="2:9" x14ac:dyDescent="0.25">
      <c r="B569" s="10"/>
      <c r="C569" s="10"/>
      <c r="D569" s="18">
        <v>552</v>
      </c>
      <c r="E569" s="21">
        <f t="shared" si="37"/>
        <v>12437259736</v>
      </c>
      <c r="F569" s="21">
        <f t="shared" si="34"/>
        <v>6405188764041</v>
      </c>
      <c r="G569" s="21">
        <f t="shared" si="35"/>
        <v>14277427593</v>
      </c>
      <c r="H569" s="22">
        <f t="shared" si="36"/>
        <v>0.41552783202496357</v>
      </c>
      <c r="I569" s="10"/>
    </row>
    <row r="570" spans="2:9" x14ac:dyDescent="0.25">
      <c r="B570" s="10"/>
      <c r="C570" s="10"/>
      <c r="D570" s="18">
        <v>553</v>
      </c>
      <c r="E570" s="21">
        <f t="shared" si="37"/>
        <v>14277427593</v>
      </c>
      <c r="F570" s="21">
        <f t="shared" si="34"/>
        <v>7352875210396</v>
      </c>
      <c r="G570" s="21">
        <f t="shared" si="35"/>
        <v>34250938012</v>
      </c>
      <c r="H570" s="22">
        <f t="shared" si="36"/>
        <v>0.99683349288534373</v>
      </c>
      <c r="I570" s="10"/>
    </row>
    <row r="571" spans="2:9" x14ac:dyDescent="0.25">
      <c r="B571" s="10"/>
      <c r="C571" s="10"/>
      <c r="D571" s="18">
        <v>554</v>
      </c>
      <c r="E571" s="21">
        <f t="shared" si="37"/>
        <v>34250938012</v>
      </c>
      <c r="F571" s="21">
        <f t="shared" si="34"/>
        <v>17639233076181</v>
      </c>
      <c r="G571" s="21">
        <f t="shared" si="35"/>
        <v>12687293397</v>
      </c>
      <c r="H571" s="22">
        <f t="shared" si="36"/>
        <v>0.36924883598112501</v>
      </c>
      <c r="I571" s="10"/>
    </row>
    <row r="572" spans="2:9" x14ac:dyDescent="0.25">
      <c r="B572" s="10"/>
      <c r="C572" s="10"/>
      <c r="D572" s="18">
        <v>555</v>
      </c>
      <c r="E572" s="21">
        <f t="shared" si="37"/>
        <v>12687293397</v>
      </c>
      <c r="F572" s="21">
        <f t="shared" si="34"/>
        <v>6533956099456</v>
      </c>
      <c r="G572" s="21">
        <f t="shared" si="35"/>
        <v>5605809536</v>
      </c>
      <c r="H572" s="22">
        <f t="shared" si="36"/>
        <v>0.16315053030848503</v>
      </c>
      <c r="I572" s="10"/>
    </row>
    <row r="573" spans="2:9" x14ac:dyDescent="0.25">
      <c r="B573" s="10"/>
      <c r="C573" s="10"/>
      <c r="D573" s="18">
        <v>556</v>
      </c>
      <c r="E573" s="21">
        <f t="shared" si="37"/>
        <v>5605809536</v>
      </c>
      <c r="F573" s="21">
        <f t="shared" si="34"/>
        <v>2886991911041</v>
      </c>
      <c r="G573" s="21">
        <f t="shared" si="35"/>
        <v>773888129</v>
      </c>
      <c r="H573" s="22">
        <f t="shared" si="36"/>
        <v>2.2523108898894861E-2</v>
      </c>
      <c r="I573" s="10"/>
    </row>
    <row r="574" spans="2:9" x14ac:dyDescent="0.25">
      <c r="B574" s="10"/>
      <c r="C574" s="10"/>
      <c r="D574" s="18">
        <v>557</v>
      </c>
      <c r="E574" s="21">
        <f t="shared" si="37"/>
        <v>773888129</v>
      </c>
      <c r="F574" s="21">
        <f t="shared" si="34"/>
        <v>398552386436</v>
      </c>
      <c r="G574" s="21">
        <f t="shared" si="35"/>
        <v>20595264388</v>
      </c>
      <c r="H574" s="22">
        <f t="shared" si="36"/>
        <v>0.59940108295995742</v>
      </c>
      <c r="I574" s="10"/>
    </row>
    <row r="575" spans="2:9" x14ac:dyDescent="0.25">
      <c r="B575" s="10"/>
      <c r="C575" s="10"/>
      <c r="D575" s="18">
        <v>558</v>
      </c>
      <c r="E575" s="21">
        <f t="shared" si="37"/>
        <v>20595264388</v>
      </c>
      <c r="F575" s="21">
        <f t="shared" si="34"/>
        <v>10606561159821</v>
      </c>
      <c r="G575" s="21">
        <f t="shared" si="35"/>
        <v>23761742477</v>
      </c>
      <c r="H575" s="22">
        <f t="shared" si="36"/>
        <v>0.69155772440717556</v>
      </c>
      <c r="I575" s="10"/>
    </row>
    <row r="576" spans="2:9" x14ac:dyDescent="0.25">
      <c r="B576" s="10"/>
      <c r="C576" s="10"/>
      <c r="D576" s="18">
        <v>559</v>
      </c>
      <c r="E576" s="21">
        <f t="shared" si="37"/>
        <v>23761742477</v>
      </c>
      <c r="F576" s="21">
        <f t="shared" si="34"/>
        <v>12237297375656</v>
      </c>
      <c r="G576" s="21">
        <f t="shared" si="35"/>
        <v>5230516648</v>
      </c>
      <c r="H576" s="22">
        <f t="shared" si="36"/>
        <v>0.15222806972451508</v>
      </c>
      <c r="I576" s="10"/>
    </row>
    <row r="577" spans="2:9" x14ac:dyDescent="0.25">
      <c r="B577" s="10"/>
      <c r="C577" s="10"/>
      <c r="D577" s="18">
        <v>560</v>
      </c>
      <c r="E577" s="21">
        <f t="shared" si="37"/>
        <v>5230516648</v>
      </c>
      <c r="F577" s="21">
        <f t="shared" si="34"/>
        <v>2693716073721</v>
      </c>
      <c r="G577" s="21">
        <f t="shared" si="35"/>
        <v>13656481017</v>
      </c>
      <c r="H577" s="22">
        <f t="shared" si="36"/>
        <v>0.39745590815437026</v>
      </c>
      <c r="I577" s="10"/>
    </row>
    <row r="578" spans="2:9" x14ac:dyDescent="0.25">
      <c r="B578" s="10"/>
      <c r="C578" s="10"/>
      <c r="D578" s="18">
        <v>561</v>
      </c>
      <c r="E578" s="21">
        <f t="shared" si="37"/>
        <v>13656481017</v>
      </c>
      <c r="F578" s="21">
        <f t="shared" si="34"/>
        <v>7033087723756</v>
      </c>
      <c r="G578" s="21">
        <f t="shared" si="35"/>
        <v>23701096684</v>
      </c>
      <c r="H578" s="22">
        <f t="shared" si="36"/>
        <v>0.68979269952978939</v>
      </c>
      <c r="I578" s="10"/>
    </row>
    <row r="579" spans="2:9" x14ac:dyDescent="0.25">
      <c r="B579" s="10"/>
      <c r="C579" s="10"/>
      <c r="D579" s="18">
        <v>562</v>
      </c>
      <c r="E579" s="21">
        <f t="shared" si="37"/>
        <v>23701096684</v>
      </c>
      <c r="F579" s="21">
        <f t="shared" si="34"/>
        <v>12206064792261</v>
      </c>
      <c r="G579" s="21">
        <f t="shared" si="35"/>
        <v>8357671621</v>
      </c>
      <c r="H579" s="22">
        <f t="shared" si="36"/>
        <v>0.24324025787063874</v>
      </c>
      <c r="I579" s="10"/>
    </row>
    <row r="580" spans="2:9" x14ac:dyDescent="0.25">
      <c r="B580" s="10"/>
      <c r="C580" s="10"/>
      <c r="D580" s="18">
        <v>563</v>
      </c>
      <c r="E580" s="21">
        <f t="shared" si="37"/>
        <v>8357671621</v>
      </c>
      <c r="F580" s="21">
        <f t="shared" si="34"/>
        <v>4304200884816</v>
      </c>
      <c r="G580" s="21">
        <f t="shared" si="35"/>
        <v>9233588816</v>
      </c>
      <c r="H580" s="22">
        <f t="shared" si="36"/>
        <v>0.2687328034080565</v>
      </c>
      <c r="I580" s="10"/>
    </row>
    <row r="581" spans="2:9" x14ac:dyDescent="0.25">
      <c r="B581" s="10"/>
      <c r="C581" s="10"/>
      <c r="D581" s="18">
        <v>564</v>
      </c>
      <c r="E581" s="21">
        <f t="shared" si="37"/>
        <v>9233588816</v>
      </c>
      <c r="F581" s="21">
        <f t="shared" si="34"/>
        <v>4755298240241</v>
      </c>
      <c r="G581" s="21">
        <f t="shared" si="35"/>
        <v>13654345457</v>
      </c>
      <c r="H581" s="22">
        <f t="shared" si="36"/>
        <v>0.39739375517820008</v>
      </c>
      <c r="I581" s="10"/>
    </row>
    <row r="582" spans="2:9" x14ac:dyDescent="0.25">
      <c r="B582" s="10"/>
      <c r="C582" s="10"/>
      <c r="D582" s="18">
        <v>565</v>
      </c>
      <c r="E582" s="21">
        <f t="shared" si="37"/>
        <v>13654345457</v>
      </c>
      <c r="F582" s="21">
        <f t="shared" si="34"/>
        <v>7031987910356</v>
      </c>
      <c r="G582" s="21">
        <f t="shared" si="35"/>
        <v>22601283284</v>
      </c>
      <c r="H582" s="22">
        <f t="shared" si="36"/>
        <v>0.65778391680214554</v>
      </c>
      <c r="I582" s="10"/>
    </row>
    <row r="583" spans="2:9" x14ac:dyDescent="0.25">
      <c r="B583" s="10"/>
      <c r="C583" s="10"/>
      <c r="D583" s="18">
        <v>566</v>
      </c>
      <c r="E583" s="21">
        <f t="shared" si="37"/>
        <v>22601283284</v>
      </c>
      <c r="F583" s="21">
        <f t="shared" si="34"/>
        <v>11639660891261</v>
      </c>
      <c r="G583" s="21">
        <f t="shared" si="35"/>
        <v>26069322877</v>
      </c>
      <c r="H583" s="22">
        <f t="shared" si="36"/>
        <v>0.7587171531340573</v>
      </c>
      <c r="I583" s="10"/>
    </row>
    <row r="584" spans="2:9" x14ac:dyDescent="0.25">
      <c r="B584" s="10"/>
      <c r="C584" s="10"/>
      <c r="D584" s="18">
        <v>567</v>
      </c>
      <c r="E584" s="21">
        <f t="shared" si="37"/>
        <v>26069322877</v>
      </c>
      <c r="F584" s="21">
        <f t="shared" si="34"/>
        <v>13425701281656</v>
      </c>
      <c r="G584" s="21">
        <f t="shared" si="35"/>
        <v>25403318136</v>
      </c>
      <c r="H584" s="22">
        <f t="shared" si="36"/>
        <v>0.73933386406861246</v>
      </c>
      <c r="I584" s="10"/>
    </row>
    <row r="585" spans="2:9" x14ac:dyDescent="0.25">
      <c r="B585" s="10"/>
      <c r="C585" s="10"/>
      <c r="D585" s="18">
        <v>568</v>
      </c>
      <c r="E585" s="21">
        <f t="shared" si="37"/>
        <v>25403318136</v>
      </c>
      <c r="F585" s="21">
        <f t="shared" si="34"/>
        <v>13082708840041</v>
      </c>
      <c r="G585" s="21">
        <f t="shared" si="35"/>
        <v>26008260201</v>
      </c>
      <c r="H585" s="22">
        <f t="shared" si="36"/>
        <v>0.75693999536451884</v>
      </c>
      <c r="I585" s="10"/>
    </row>
    <row r="586" spans="2:9" x14ac:dyDescent="0.25">
      <c r="B586" s="10"/>
      <c r="C586" s="10"/>
      <c r="D586" s="18">
        <v>569</v>
      </c>
      <c r="E586" s="21">
        <f t="shared" si="37"/>
        <v>26008260201</v>
      </c>
      <c r="F586" s="21">
        <f t="shared" si="34"/>
        <v>13394254003516</v>
      </c>
      <c r="G586" s="21">
        <f t="shared" si="35"/>
        <v>28315778364</v>
      </c>
      <c r="H586" s="22">
        <f t="shared" si="36"/>
        <v>0.82409761275630444</v>
      </c>
      <c r="I586" s="10"/>
    </row>
    <row r="587" spans="2:9" x14ac:dyDescent="0.25">
      <c r="B587" s="10"/>
      <c r="C587" s="10"/>
      <c r="D587" s="18">
        <v>570</v>
      </c>
      <c r="E587" s="21">
        <f t="shared" si="37"/>
        <v>28315778364</v>
      </c>
      <c r="F587" s="21">
        <f t="shared" si="34"/>
        <v>14582625857461</v>
      </c>
      <c r="G587" s="21">
        <f t="shared" si="35"/>
        <v>14096789429</v>
      </c>
      <c r="H587" s="22">
        <f t="shared" si="36"/>
        <v>0.41027056952589191</v>
      </c>
      <c r="I587" s="10"/>
    </row>
    <row r="588" spans="2:9" x14ac:dyDescent="0.25">
      <c r="B588" s="10"/>
      <c r="C588" s="10"/>
      <c r="D588" s="18">
        <v>571</v>
      </c>
      <c r="E588" s="21">
        <f t="shared" si="37"/>
        <v>14096789429</v>
      </c>
      <c r="F588" s="21">
        <f t="shared" si="34"/>
        <v>7259846555936</v>
      </c>
      <c r="G588" s="21">
        <f t="shared" si="35"/>
        <v>9941760288</v>
      </c>
      <c r="H588" s="22">
        <f t="shared" si="36"/>
        <v>0.28934330586344004</v>
      </c>
      <c r="I588" s="10"/>
    </row>
    <row r="589" spans="2:9" x14ac:dyDescent="0.25">
      <c r="B589" s="10"/>
      <c r="C589" s="10"/>
      <c r="D589" s="18">
        <v>572</v>
      </c>
      <c r="E589" s="21">
        <f t="shared" si="37"/>
        <v>9941760288</v>
      </c>
      <c r="F589" s="21">
        <f t="shared" si="34"/>
        <v>5120006548321</v>
      </c>
      <c r="G589" s="21">
        <f t="shared" si="35"/>
        <v>405531489</v>
      </c>
      <c r="H589" s="22">
        <f t="shared" si="36"/>
        <v>1.1802519700722769E-2</v>
      </c>
      <c r="I589" s="10"/>
    </row>
    <row r="590" spans="2:9" x14ac:dyDescent="0.25">
      <c r="B590" s="10"/>
      <c r="C590" s="10"/>
      <c r="D590" s="18">
        <v>573</v>
      </c>
      <c r="E590" s="21">
        <f t="shared" si="37"/>
        <v>405531489</v>
      </c>
      <c r="F590" s="21">
        <f t="shared" si="34"/>
        <v>208848716836</v>
      </c>
      <c r="G590" s="21">
        <f t="shared" si="35"/>
        <v>2690286628</v>
      </c>
      <c r="H590" s="22">
        <f t="shared" si="36"/>
        <v>7.8297645901329815E-2</v>
      </c>
      <c r="I590" s="10"/>
    </row>
    <row r="591" spans="2:9" x14ac:dyDescent="0.25">
      <c r="B591" s="10"/>
      <c r="C591" s="10"/>
      <c r="D591" s="18">
        <v>574</v>
      </c>
      <c r="E591" s="21">
        <f t="shared" si="37"/>
        <v>2690286628</v>
      </c>
      <c r="F591" s="21">
        <f t="shared" si="34"/>
        <v>1385497613421</v>
      </c>
      <c r="G591" s="21">
        <f t="shared" si="35"/>
        <v>11108078701</v>
      </c>
      <c r="H591" s="22">
        <f t="shared" si="36"/>
        <v>0.32328763921395876</v>
      </c>
      <c r="I591" s="10"/>
    </row>
    <row r="592" spans="2:9" x14ac:dyDescent="0.25">
      <c r="B592" s="10"/>
      <c r="C592" s="10"/>
      <c r="D592" s="18">
        <v>575</v>
      </c>
      <c r="E592" s="21">
        <f t="shared" si="37"/>
        <v>11108078701</v>
      </c>
      <c r="F592" s="21">
        <f t="shared" si="34"/>
        <v>5720660531016</v>
      </c>
      <c r="G592" s="21">
        <f t="shared" si="35"/>
        <v>16943961928</v>
      </c>
      <c r="H592" s="22">
        <f t="shared" si="36"/>
        <v>0.49313419521786273</v>
      </c>
      <c r="I592" s="10"/>
    </row>
    <row r="593" spans="2:9" x14ac:dyDescent="0.25">
      <c r="B593" s="10"/>
      <c r="C593" s="10"/>
      <c r="D593" s="18">
        <v>576</v>
      </c>
      <c r="E593" s="21">
        <f t="shared" si="37"/>
        <v>16943961928</v>
      </c>
      <c r="F593" s="21">
        <f t="shared" si="34"/>
        <v>8726140392921</v>
      </c>
      <c r="G593" s="21">
        <f t="shared" si="35"/>
        <v>33126585817</v>
      </c>
      <c r="H593" s="22">
        <f t="shared" si="36"/>
        <v>0.96411053722840734</v>
      </c>
      <c r="I593" s="10"/>
    </row>
    <row r="594" spans="2:9" x14ac:dyDescent="0.25">
      <c r="B594" s="10"/>
      <c r="C594" s="10"/>
      <c r="D594" s="18">
        <v>577</v>
      </c>
      <c r="E594" s="21">
        <f t="shared" si="37"/>
        <v>33126585817</v>
      </c>
      <c r="F594" s="21">
        <f t="shared" si="34"/>
        <v>17060191695756</v>
      </c>
      <c r="G594" s="21">
        <f t="shared" si="35"/>
        <v>17761465228</v>
      </c>
      <c r="H594" s="22">
        <f t="shared" si="36"/>
        <v>0.51692667265888304</v>
      </c>
      <c r="I594" s="10"/>
    </row>
    <row r="595" spans="2:9" x14ac:dyDescent="0.25">
      <c r="B595" s="10"/>
      <c r="C595" s="10"/>
      <c r="D595" s="18">
        <v>578</v>
      </c>
      <c r="E595" s="21">
        <f t="shared" si="37"/>
        <v>17761465228</v>
      </c>
      <c r="F595" s="21">
        <f t="shared" ref="F595:F658" si="38">E$7 * E595 + H$7</f>
        <v>9147154592421</v>
      </c>
      <c r="G595" s="21">
        <f t="shared" ref="G595:G658" si="39">MOD(F595,F$7)</f>
        <v>7464186533</v>
      </c>
      <c r="H595" s="22">
        <f t="shared" ref="H595:H658" si="40">G595/F$7</f>
        <v>0.21723641935386695</v>
      </c>
      <c r="I595" s="10"/>
    </row>
    <row r="596" spans="2:9" x14ac:dyDescent="0.25">
      <c r="B596" s="10"/>
      <c r="C596" s="10"/>
      <c r="D596" s="18">
        <v>579</v>
      </c>
      <c r="E596" s="21">
        <f t="shared" si="37"/>
        <v>7464186533</v>
      </c>
      <c r="F596" s="21">
        <f t="shared" si="38"/>
        <v>3844056064496</v>
      </c>
      <c r="G596" s="21">
        <f t="shared" si="39"/>
        <v>30125105648</v>
      </c>
      <c r="H596" s="22">
        <f t="shared" si="40"/>
        <v>0.87675596727058291</v>
      </c>
      <c r="I596" s="10"/>
    </row>
    <row r="597" spans="2:9" x14ac:dyDescent="0.25">
      <c r="B597" s="10"/>
      <c r="C597" s="10"/>
      <c r="D597" s="18">
        <v>580</v>
      </c>
      <c r="E597" s="21">
        <f t="shared" si="37"/>
        <v>30125105648</v>
      </c>
      <c r="F597" s="21">
        <f t="shared" si="38"/>
        <v>15514429408721</v>
      </c>
      <c r="G597" s="21">
        <f t="shared" si="39"/>
        <v>18187404753</v>
      </c>
      <c r="H597" s="22">
        <f t="shared" si="40"/>
        <v>0.52932314437930472</v>
      </c>
      <c r="I597" s="10"/>
    </row>
    <row r="598" spans="2:9" x14ac:dyDescent="0.25">
      <c r="B598" s="10"/>
      <c r="C598" s="10"/>
      <c r="D598" s="18">
        <v>581</v>
      </c>
      <c r="E598" s="21">
        <f t="shared" si="37"/>
        <v>18187404753</v>
      </c>
      <c r="F598" s="21">
        <f t="shared" si="38"/>
        <v>9366513447796</v>
      </c>
      <c r="G598" s="21">
        <f t="shared" si="39"/>
        <v>20664611700</v>
      </c>
      <c r="H598" s="22">
        <f t="shared" si="40"/>
        <v>0.60141935537103564</v>
      </c>
      <c r="I598" s="10"/>
    </row>
    <row r="599" spans="2:9" x14ac:dyDescent="0.25">
      <c r="B599" s="10"/>
      <c r="C599" s="10"/>
      <c r="D599" s="18">
        <v>582</v>
      </c>
      <c r="E599" s="21">
        <f t="shared" si="37"/>
        <v>20664611700</v>
      </c>
      <c r="F599" s="21">
        <f t="shared" si="38"/>
        <v>10642275025501</v>
      </c>
      <c r="G599" s="21">
        <f t="shared" si="39"/>
        <v>25115869789</v>
      </c>
      <c r="H599" s="22">
        <f t="shared" si="40"/>
        <v>0.7309680161124561</v>
      </c>
      <c r="I599" s="10"/>
    </row>
    <row r="600" spans="2:9" x14ac:dyDescent="0.25">
      <c r="B600" s="10"/>
      <c r="C600" s="10"/>
      <c r="D600" s="18">
        <v>583</v>
      </c>
      <c r="E600" s="21">
        <f t="shared" si="37"/>
        <v>25115869789</v>
      </c>
      <c r="F600" s="21">
        <f t="shared" si="38"/>
        <v>12934672941336</v>
      </c>
      <c r="G600" s="21">
        <f t="shared" si="39"/>
        <v>15411314968</v>
      </c>
      <c r="H600" s="22">
        <f t="shared" si="40"/>
        <v>0.4485282979439944</v>
      </c>
      <c r="I600" s="10"/>
    </row>
    <row r="601" spans="2:9" x14ac:dyDescent="0.25">
      <c r="B601" s="10"/>
      <c r="C601" s="10"/>
      <c r="D601" s="18">
        <v>584</v>
      </c>
      <c r="E601" s="21">
        <f t="shared" si="37"/>
        <v>15411314968</v>
      </c>
      <c r="F601" s="21">
        <f t="shared" si="38"/>
        <v>7936827208521</v>
      </c>
      <c r="G601" s="21">
        <f t="shared" si="39"/>
        <v>34087383881</v>
      </c>
      <c r="H601" s="22">
        <f t="shared" si="40"/>
        <v>0.99207344118622132</v>
      </c>
      <c r="I601" s="10"/>
    </row>
    <row r="602" spans="2:9" x14ac:dyDescent="0.25">
      <c r="B602" s="10"/>
      <c r="C602" s="10"/>
      <c r="D602" s="18">
        <v>585</v>
      </c>
      <c r="E602" s="21">
        <f t="shared" si="37"/>
        <v>34087383881</v>
      </c>
      <c r="F602" s="21">
        <f t="shared" si="38"/>
        <v>17555002698716</v>
      </c>
      <c r="G602" s="21">
        <f t="shared" si="39"/>
        <v>31536131036</v>
      </c>
      <c r="H602" s="22">
        <f t="shared" si="40"/>
        <v>0.91782221093308181</v>
      </c>
      <c r="I602" s="10"/>
    </row>
    <row r="603" spans="2:9" x14ac:dyDescent="0.25">
      <c r="B603" s="10"/>
      <c r="C603" s="10"/>
      <c r="D603" s="18">
        <v>586</v>
      </c>
      <c r="E603" s="21">
        <f t="shared" si="37"/>
        <v>31536131036</v>
      </c>
      <c r="F603" s="21">
        <f t="shared" si="38"/>
        <v>16241107483541</v>
      </c>
      <c r="G603" s="21">
        <f t="shared" si="39"/>
        <v>23310973845</v>
      </c>
      <c r="H603" s="22">
        <f t="shared" si="40"/>
        <v>0.67843863056623377</v>
      </c>
      <c r="I603" s="10"/>
    </row>
    <row r="604" spans="2:9" x14ac:dyDescent="0.25">
      <c r="B604" s="10"/>
      <c r="C604" s="10"/>
      <c r="D604" s="18">
        <v>587</v>
      </c>
      <c r="E604" s="21">
        <f t="shared" si="37"/>
        <v>23310973845</v>
      </c>
      <c r="F604" s="21">
        <f t="shared" si="38"/>
        <v>12005151530176</v>
      </c>
      <c r="G604" s="21">
        <f t="shared" si="39"/>
        <v>13602839744</v>
      </c>
      <c r="H604" s="22">
        <f t="shared" si="40"/>
        <v>0.3958947416394949</v>
      </c>
      <c r="I604" s="10"/>
    </row>
    <row r="605" spans="2:9" x14ac:dyDescent="0.25">
      <c r="B605" s="10"/>
      <c r="C605" s="10"/>
      <c r="D605" s="18">
        <v>588</v>
      </c>
      <c r="E605" s="21">
        <f t="shared" si="37"/>
        <v>13602839744</v>
      </c>
      <c r="F605" s="21">
        <f t="shared" si="38"/>
        <v>7005462468161</v>
      </c>
      <c r="G605" s="21">
        <f t="shared" si="39"/>
        <v>30435579457</v>
      </c>
      <c r="H605" s="22">
        <f t="shared" si="40"/>
        <v>0.88579194436897524</v>
      </c>
      <c r="I605" s="10"/>
    </row>
    <row r="606" spans="2:9" x14ac:dyDescent="0.25">
      <c r="B606" s="10"/>
      <c r="C606" s="10"/>
      <c r="D606" s="18">
        <v>589</v>
      </c>
      <c r="E606" s="21">
        <f t="shared" si="37"/>
        <v>30435579457</v>
      </c>
      <c r="F606" s="21">
        <f t="shared" si="38"/>
        <v>15674323420356</v>
      </c>
      <c r="G606" s="21">
        <f t="shared" si="39"/>
        <v>6282724548</v>
      </c>
      <c r="H606" s="22">
        <f t="shared" si="40"/>
        <v>0.18285135005135089</v>
      </c>
      <c r="I606" s="10"/>
    </row>
    <row r="607" spans="2:9" x14ac:dyDescent="0.25">
      <c r="B607" s="10"/>
      <c r="C607" s="10"/>
      <c r="D607" s="18">
        <v>590</v>
      </c>
      <c r="E607" s="21">
        <f t="shared" si="37"/>
        <v>6282724548</v>
      </c>
      <c r="F607" s="21">
        <f t="shared" si="38"/>
        <v>3235603142221</v>
      </c>
      <c r="G607" s="21">
        <f t="shared" si="39"/>
        <v>5787735629</v>
      </c>
      <c r="H607" s="22">
        <f t="shared" si="40"/>
        <v>0.168445276474813</v>
      </c>
      <c r="I607" s="10"/>
    </row>
    <row r="608" spans="2:9" x14ac:dyDescent="0.25">
      <c r="B608" s="10"/>
      <c r="C608" s="10"/>
      <c r="D608" s="18">
        <v>591</v>
      </c>
      <c r="E608" s="21">
        <f t="shared" si="37"/>
        <v>5787735629</v>
      </c>
      <c r="F608" s="21">
        <f t="shared" si="38"/>
        <v>2980683848936</v>
      </c>
      <c r="G608" s="21">
        <f t="shared" si="39"/>
        <v>25746349288</v>
      </c>
      <c r="H608" s="22">
        <f t="shared" si="40"/>
        <v>0.7493173845577985</v>
      </c>
      <c r="I608" s="10"/>
    </row>
    <row r="609" spans="2:9" x14ac:dyDescent="0.25">
      <c r="B609" s="10"/>
      <c r="C609" s="10"/>
      <c r="D609" s="18">
        <v>592</v>
      </c>
      <c r="E609" s="21">
        <f t="shared" si="37"/>
        <v>25746349288</v>
      </c>
      <c r="F609" s="21">
        <f t="shared" si="38"/>
        <v>13259369883321</v>
      </c>
      <c r="G609" s="21">
        <f t="shared" si="39"/>
        <v>30870611641</v>
      </c>
      <c r="H609" s="22">
        <f t="shared" si="40"/>
        <v>0.89845304729533382</v>
      </c>
      <c r="I609" s="10"/>
    </row>
    <row r="610" spans="2:9" x14ac:dyDescent="0.25">
      <c r="B610" s="10"/>
      <c r="C610" s="10"/>
      <c r="D610" s="18">
        <v>593</v>
      </c>
      <c r="E610" s="21">
        <f t="shared" si="37"/>
        <v>30870611641</v>
      </c>
      <c r="F610" s="21">
        <f t="shared" si="38"/>
        <v>15898364995116</v>
      </c>
      <c r="G610" s="21">
        <f t="shared" si="39"/>
        <v>24165869100</v>
      </c>
      <c r="H610" s="22">
        <f t="shared" si="40"/>
        <v>0.7033193571260199</v>
      </c>
      <c r="I610" s="10"/>
    </row>
    <row r="611" spans="2:9" x14ac:dyDescent="0.25">
      <c r="B611" s="10"/>
      <c r="C611" s="10"/>
      <c r="D611" s="18">
        <v>594</v>
      </c>
      <c r="E611" s="21">
        <f t="shared" si="37"/>
        <v>24165869100</v>
      </c>
      <c r="F611" s="21">
        <f t="shared" si="38"/>
        <v>12445422586501</v>
      </c>
      <c r="G611" s="21">
        <f t="shared" si="39"/>
        <v>7197297285</v>
      </c>
      <c r="H611" s="22">
        <f t="shared" si="40"/>
        <v>0.20946891992934979</v>
      </c>
      <c r="I611" s="10"/>
    </row>
    <row r="612" spans="2:9" x14ac:dyDescent="0.25">
      <c r="B612" s="10"/>
      <c r="C612" s="10"/>
      <c r="D612" s="18">
        <v>595</v>
      </c>
      <c r="E612" s="21">
        <f t="shared" si="37"/>
        <v>7197297285</v>
      </c>
      <c r="F612" s="21">
        <f t="shared" si="38"/>
        <v>3706608101776</v>
      </c>
      <c r="G612" s="21">
        <f t="shared" si="39"/>
        <v>30116096400</v>
      </c>
      <c r="H612" s="22">
        <f t="shared" si="40"/>
        <v>0.87649376364424825</v>
      </c>
      <c r="I612" s="10"/>
    </row>
    <row r="613" spans="2:9" x14ac:dyDescent="0.25">
      <c r="B613" s="10"/>
      <c r="C613" s="10"/>
      <c r="D613" s="18">
        <v>596</v>
      </c>
      <c r="E613" s="21">
        <f t="shared" si="37"/>
        <v>30116096400</v>
      </c>
      <c r="F613" s="21">
        <f t="shared" si="38"/>
        <v>15509789646001</v>
      </c>
      <c r="G613" s="21">
        <f t="shared" si="39"/>
        <v>13547642033</v>
      </c>
      <c r="H613" s="22">
        <f t="shared" si="40"/>
        <v>0.39428827681695111</v>
      </c>
      <c r="I613" s="10"/>
    </row>
    <row r="614" spans="2:9" x14ac:dyDescent="0.25">
      <c r="B614" s="10"/>
      <c r="C614" s="10"/>
      <c r="D614" s="18">
        <v>597</v>
      </c>
      <c r="E614" s="21">
        <f t="shared" si="37"/>
        <v>13547642033</v>
      </c>
      <c r="F614" s="21">
        <f t="shared" si="38"/>
        <v>6977035646996</v>
      </c>
      <c r="G614" s="21">
        <f t="shared" si="39"/>
        <v>2008758292</v>
      </c>
      <c r="H614" s="22">
        <f t="shared" si="40"/>
        <v>5.8462560758925974E-2</v>
      </c>
      <c r="I614" s="10"/>
    </row>
    <row r="615" spans="2:9" x14ac:dyDescent="0.25">
      <c r="B615" s="10"/>
      <c r="C615" s="10"/>
      <c r="D615" s="18">
        <v>598</v>
      </c>
      <c r="E615" s="21">
        <f t="shared" si="37"/>
        <v>2008758292</v>
      </c>
      <c r="F615" s="21">
        <f t="shared" si="38"/>
        <v>1034510520381</v>
      </c>
      <c r="G615" s="21">
        <f t="shared" si="39"/>
        <v>3718369341</v>
      </c>
      <c r="H615" s="22">
        <f t="shared" si="40"/>
        <v>0.10821879087598063</v>
      </c>
      <c r="I615" s="10"/>
    </row>
    <row r="616" spans="2:9" x14ac:dyDescent="0.25">
      <c r="B616" s="10"/>
      <c r="C616" s="10"/>
      <c r="D616" s="18">
        <v>599</v>
      </c>
      <c r="E616" s="21">
        <f t="shared" si="37"/>
        <v>3718369341</v>
      </c>
      <c r="F616" s="21">
        <f t="shared" si="38"/>
        <v>1914960210616</v>
      </c>
      <c r="G616" s="21">
        <f t="shared" si="39"/>
        <v>25174600376</v>
      </c>
      <c r="H616" s="22">
        <f t="shared" si="40"/>
        <v>0.73267730115912855</v>
      </c>
      <c r="I616" s="10"/>
    </row>
    <row r="617" spans="2:9" x14ac:dyDescent="0.25">
      <c r="B617" s="10"/>
      <c r="C617" s="10"/>
      <c r="D617" s="18">
        <v>600</v>
      </c>
      <c r="E617" s="21">
        <f t="shared" si="37"/>
        <v>25174600376</v>
      </c>
      <c r="F617" s="21">
        <f t="shared" si="38"/>
        <v>12964919193641</v>
      </c>
      <c r="G617" s="21">
        <f t="shared" si="39"/>
        <v>11297828905</v>
      </c>
      <c r="H617" s="22">
        <f t="shared" si="40"/>
        <v>0.32881009698030539</v>
      </c>
      <c r="I617" s="10"/>
    </row>
    <row r="618" spans="2:9" x14ac:dyDescent="0.25">
      <c r="B618" s="10"/>
      <c r="C618" s="10"/>
      <c r="D618" s="18">
        <v>601</v>
      </c>
      <c r="E618" s="21">
        <f t="shared" si="37"/>
        <v>11297828905</v>
      </c>
      <c r="F618" s="21">
        <f t="shared" si="38"/>
        <v>5818381886076</v>
      </c>
      <c r="G618" s="21">
        <f t="shared" si="39"/>
        <v>11586101884</v>
      </c>
      <c r="H618" s="22">
        <f t="shared" si="40"/>
        <v>0.33719994488637894</v>
      </c>
      <c r="I618" s="10"/>
    </row>
    <row r="619" spans="2:9" x14ac:dyDescent="0.25">
      <c r="B619" s="10"/>
      <c r="C619" s="10"/>
      <c r="D619" s="18">
        <v>602</v>
      </c>
      <c r="E619" s="21">
        <f t="shared" si="37"/>
        <v>11586101884</v>
      </c>
      <c r="F619" s="21">
        <f t="shared" si="38"/>
        <v>5966842470261</v>
      </c>
      <c r="G619" s="21">
        <f t="shared" si="39"/>
        <v>22607732597</v>
      </c>
      <c r="H619" s="22">
        <f t="shared" si="40"/>
        <v>0.65797161651425995</v>
      </c>
      <c r="I619" s="10"/>
    </row>
    <row r="620" spans="2:9" x14ac:dyDescent="0.25">
      <c r="B620" s="10"/>
      <c r="C620" s="10"/>
      <c r="D620" s="18">
        <v>603</v>
      </c>
      <c r="E620" s="21">
        <f t="shared" si="37"/>
        <v>22607732597</v>
      </c>
      <c r="F620" s="21">
        <f t="shared" si="38"/>
        <v>11642982287456</v>
      </c>
      <c r="G620" s="21">
        <f t="shared" si="39"/>
        <v>29390719072</v>
      </c>
      <c r="H620" s="22">
        <f t="shared" si="40"/>
        <v>0.85538250487297773</v>
      </c>
      <c r="I620" s="10"/>
    </row>
    <row r="621" spans="2:9" x14ac:dyDescent="0.25">
      <c r="B621" s="10"/>
      <c r="C621" s="10"/>
      <c r="D621" s="18">
        <v>604</v>
      </c>
      <c r="E621" s="21">
        <f t="shared" si="37"/>
        <v>29390719072</v>
      </c>
      <c r="F621" s="21">
        <f t="shared" si="38"/>
        <v>15136220322081</v>
      </c>
      <c r="G621" s="21">
        <f t="shared" si="39"/>
        <v>17935440161</v>
      </c>
      <c r="H621" s="22">
        <f t="shared" si="40"/>
        <v>0.52199000961263664</v>
      </c>
      <c r="I621" s="10"/>
    </row>
    <row r="622" spans="2:9" x14ac:dyDescent="0.25">
      <c r="B622" s="10"/>
      <c r="C622" s="10"/>
      <c r="D622" s="18">
        <v>605</v>
      </c>
      <c r="E622" s="21">
        <f t="shared" si="37"/>
        <v>17935440161</v>
      </c>
      <c r="F622" s="21">
        <f t="shared" si="38"/>
        <v>9236751682916</v>
      </c>
      <c r="G622" s="21">
        <f t="shared" si="39"/>
        <v>28341800292</v>
      </c>
      <c r="H622" s="22">
        <f t="shared" si="40"/>
        <v>0.82485495053697377</v>
      </c>
      <c r="I622" s="10"/>
    </row>
    <row r="623" spans="2:9" x14ac:dyDescent="0.25">
      <c r="B623" s="10"/>
      <c r="C623" s="10"/>
      <c r="D623" s="18">
        <v>606</v>
      </c>
      <c r="E623" s="21">
        <f t="shared" si="37"/>
        <v>28341800292</v>
      </c>
      <c r="F623" s="21">
        <f t="shared" si="38"/>
        <v>14596027150381</v>
      </c>
      <c r="G623" s="21">
        <f t="shared" si="39"/>
        <v>27498082349</v>
      </c>
      <c r="H623" s="22">
        <f t="shared" si="40"/>
        <v>0.80029952657059766</v>
      </c>
      <c r="I623" s="10"/>
    </row>
    <row r="624" spans="2:9" x14ac:dyDescent="0.25">
      <c r="B624" s="10"/>
      <c r="C624" s="10"/>
      <c r="D624" s="18">
        <v>607</v>
      </c>
      <c r="E624" s="21">
        <f t="shared" si="37"/>
        <v>27498082349</v>
      </c>
      <c r="F624" s="21">
        <f t="shared" si="38"/>
        <v>14161512409736</v>
      </c>
      <c r="G624" s="21">
        <f t="shared" si="39"/>
        <v>5300202120</v>
      </c>
      <c r="H624" s="22">
        <f t="shared" si="40"/>
        <v>0.15425618388690054</v>
      </c>
      <c r="I624" s="10"/>
    </row>
    <row r="625" spans="2:9" x14ac:dyDescent="0.25">
      <c r="B625" s="10"/>
      <c r="C625" s="10"/>
      <c r="D625" s="18">
        <v>608</v>
      </c>
      <c r="E625" s="21">
        <f t="shared" si="37"/>
        <v>5300202120</v>
      </c>
      <c r="F625" s="21">
        <f t="shared" si="38"/>
        <v>2729604091801</v>
      </c>
      <c r="G625" s="21">
        <f t="shared" si="39"/>
        <v>15184760729</v>
      </c>
      <c r="H625" s="22">
        <f t="shared" si="40"/>
        <v>0.44193470178288408</v>
      </c>
      <c r="I625" s="10"/>
    </row>
    <row r="626" spans="2:9" x14ac:dyDescent="0.25">
      <c r="B626" s="10"/>
      <c r="C626" s="10"/>
      <c r="D626" s="18">
        <v>609</v>
      </c>
      <c r="E626" s="21">
        <f t="shared" si="37"/>
        <v>15184760729</v>
      </c>
      <c r="F626" s="21">
        <f t="shared" si="38"/>
        <v>7820151775436</v>
      </c>
      <c r="G626" s="21">
        <f t="shared" si="39"/>
        <v>20491165900</v>
      </c>
      <c r="H626" s="22">
        <f t="shared" si="40"/>
        <v>0.59637141821440309</v>
      </c>
      <c r="I626" s="10"/>
    </row>
    <row r="627" spans="2:9" x14ac:dyDescent="0.25">
      <c r="B627" s="10"/>
      <c r="C627" s="10"/>
      <c r="D627" s="18">
        <v>610</v>
      </c>
      <c r="E627" s="21">
        <f t="shared" si="37"/>
        <v>20491165900</v>
      </c>
      <c r="F627" s="21">
        <f t="shared" si="38"/>
        <v>10552950438501</v>
      </c>
      <c r="G627" s="21">
        <f t="shared" si="39"/>
        <v>4510759525</v>
      </c>
      <c r="H627" s="22">
        <f t="shared" si="40"/>
        <v>0.13128038044669665</v>
      </c>
      <c r="I627" s="10"/>
    </row>
    <row r="628" spans="2:9" x14ac:dyDescent="0.25">
      <c r="B628" s="10"/>
      <c r="C628" s="10"/>
      <c r="D628" s="18">
        <v>611</v>
      </c>
      <c r="E628" s="21">
        <f t="shared" si="37"/>
        <v>4510759525</v>
      </c>
      <c r="F628" s="21">
        <f t="shared" si="38"/>
        <v>2323041155376</v>
      </c>
      <c r="G628" s="21">
        <f t="shared" si="39"/>
        <v>20938684720</v>
      </c>
      <c r="H628" s="22">
        <f t="shared" si="40"/>
        <v>0.60939593007788062</v>
      </c>
      <c r="I628" s="10"/>
    </row>
    <row r="629" spans="2:9" x14ac:dyDescent="0.25">
      <c r="B629" s="10"/>
      <c r="C629" s="10"/>
      <c r="D629" s="18">
        <v>612</v>
      </c>
      <c r="E629" s="21">
        <f t="shared" si="37"/>
        <v>20938684720</v>
      </c>
      <c r="F629" s="21">
        <f t="shared" si="38"/>
        <v>10783422630801</v>
      </c>
      <c r="G629" s="21">
        <f t="shared" si="39"/>
        <v>28824521617</v>
      </c>
      <c r="H629" s="22">
        <f t="shared" si="40"/>
        <v>0.83890399013762362</v>
      </c>
      <c r="I629" s="10"/>
    </row>
    <row r="630" spans="2:9" x14ac:dyDescent="0.25">
      <c r="B630" s="10"/>
      <c r="C630" s="10"/>
      <c r="D630" s="18">
        <v>613</v>
      </c>
      <c r="E630" s="21">
        <f t="shared" ref="E630:E693" si="41">G629</f>
        <v>28824521617</v>
      </c>
      <c r="F630" s="21">
        <f t="shared" si="38"/>
        <v>14844628632756</v>
      </c>
      <c r="G630" s="21">
        <f t="shared" si="39"/>
        <v>1221657780</v>
      </c>
      <c r="H630" s="22">
        <f t="shared" si="40"/>
        <v>3.5554920905269682E-2</v>
      </c>
      <c r="I630" s="10"/>
    </row>
    <row r="631" spans="2:9" x14ac:dyDescent="0.25">
      <c r="B631" s="10"/>
      <c r="C631" s="10"/>
      <c r="D631" s="18">
        <v>614</v>
      </c>
      <c r="E631" s="21">
        <f t="shared" si="41"/>
        <v>1221657780</v>
      </c>
      <c r="F631" s="21">
        <f t="shared" si="38"/>
        <v>629153756701</v>
      </c>
      <c r="G631" s="21">
        <f t="shared" si="39"/>
        <v>10678466077</v>
      </c>
      <c r="H631" s="22">
        <f t="shared" si="40"/>
        <v>0.31078426624299027</v>
      </c>
      <c r="I631" s="10"/>
    </row>
    <row r="632" spans="2:9" x14ac:dyDescent="0.25">
      <c r="B632" s="10"/>
      <c r="C632" s="10"/>
      <c r="D632" s="18">
        <v>615</v>
      </c>
      <c r="E632" s="21">
        <f t="shared" si="41"/>
        <v>10678466077</v>
      </c>
      <c r="F632" s="21">
        <f t="shared" si="38"/>
        <v>5499410029656</v>
      </c>
      <c r="G632" s="21">
        <f t="shared" si="39"/>
        <v>1851890776</v>
      </c>
      <c r="H632" s="22">
        <f t="shared" si="40"/>
        <v>5.3897115169093013E-2</v>
      </c>
      <c r="I632" s="10"/>
    </row>
    <row r="633" spans="2:9" x14ac:dyDescent="0.25">
      <c r="B633" s="10"/>
      <c r="C633" s="10"/>
      <c r="D633" s="18">
        <v>616</v>
      </c>
      <c r="E633" s="21">
        <f t="shared" si="41"/>
        <v>1851890776</v>
      </c>
      <c r="F633" s="21">
        <f t="shared" si="38"/>
        <v>953723749641</v>
      </c>
      <c r="G633" s="21">
        <f t="shared" si="39"/>
        <v>26010813705</v>
      </c>
      <c r="H633" s="22">
        <f t="shared" si="40"/>
        <v>0.75701431211200543</v>
      </c>
      <c r="I633" s="10"/>
    </row>
    <row r="634" spans="2:9" x14ac:dyDescent="0.25">
      <c r="B634" s="10"/>
      <c r="C634" s="10"/>
      <c r="D634" s="18">
        <v>617</v>
      </c>
      <c r="E634" s="21">
        <f t="shared" si="41"/>
        <v>26010813705</v>
      </c>
      <c r="F634" s="21">
        <f t="shared" si="38"/>
        <v>13395569058076</v>
      </c>
      <c r="G634" s="21">
        <f t="shared" si="39"/>
        <v>29630832924</v>
      </c>
      <c r="H634" s="22">
        <f t="shared" si="40"/>
        <v>0.86237073771189898</v>
      </c>
      <c r="I634" s="10"/>
    </row>
    <row r="635" spans="2:9" x14ac:dyDescent="0.25">
      <c r="B635" s="10"/>
      <c r="C635" s="10"/>
      <c r="D635" s="18">
        <v>618</v>
      </c>
      <c r="E635" s="21">
        <f t="shared" si="41"/>
        <v>29630832924</v>
      </c>
      <c r="F635" s="21">
        <f t="shared" si="38"/>
        <v>15259878955861</v>
      </c>
      <c r="G635" s="21">
        <f t="shared" si="39"/>
        <v>4155120469</v>
      </c>
      <c r="H635" s="22">
        <f t="shared" si="40"/>
        <v>0.12092992165707983</v>
      </c>
      <c r="I635" s="10"/>
    </row>
    <row r="636" spans="2:9" x14ac:dyDescent="0.25">
      <c r="B636" s="10"/>
      <c r="C636" s="10"/>
      <c r="D636" s="18">
        <v>619</v>
      </c>
      <c r="E636" s="21">
        <f t="shared" si="41"/>
        <v>4155120469</v>
      </c>
      <c r="F636" s="21">
        <f t="shared" si="38"/>
        <v>2139887041536</v>
      </c>
      <c r="G636" s="21">
        <f t="shared" si="39"/>
        <v>9583262720</v>
      </c>
      <c r="H636" s="22">
        <f t="shared" si="40"/>
        <v>0.27890965342521667</v>
      </c>
      <c r="I636" s="10"/>
    </row>
    <row r="637" spans="2:9" x14ac:dyDescent="0.25">
      <c r="B637" s="10"/>
      <c r="C637" s="10"/>
      <c r="D637" s="18">
        <v>620</v>
      </c>
      <c r="E637" s="21">
        <f t="shared" si="41"/>
        <v>9583262720</v>
      </c>
      <c r="F637" s="21">
        <f t="shared" si="38"/>
        <v>4935380300801</v>
      </c>
      <c r="G637" s="21">
        <f t="shared" si="39"/>
        <v>21937714177</v>
      </c>
      <c r="H637" s="22">
        <f t="shared" si="40"/>
        <v>0.63847151401569135</v>
      </c>
      <c r="I637" s="10"/>
    </row>
    <row r="638" spans="2:9" x14ac:dyDescent="0.25">
      <c r="B638" s="10"/>
      <c r="C638" s="10"/>
      <c r="D638" s="18">
        <v>621</v>
      </c>
      <c r="E638" s="21">
        <f t="shared" si="41"/>
        <v>21937714177</v>
      </c>
      <c r="F638" s="21">
        <f t="shared" si="38"/>
        <v>11297922801156</v>
      </c>
      <c r="G638" s="21">
        <f t="shared" si="39"/>
        <v>27928616452</v>
      </c>
      <c r="H638" s="22">
        <f t="shared" si="40"/>
        <v>0.81282971811015159</v>
      </c>
      <c r="I638" s="10"/>
    </row>
    <row r="639" spans="2:9" x14ac:dyDescent="0.25">
      <c r="B639" s="10"/>
      <c r="C639" s="10"/>
      <c r="D639" s="18">
        <v>622</v>
      </c>
      <c r="E639" s="21">
        <f t="shared" si="41"/>
        <v>27928616452</v>
      </c>
      <c r="F639" s="21">
        <f t="shared" si="38"/>
        <v>14383237472781</v>
      </c>
      <c r="G639" s="21">
        <f t="shared" si="39"/>
        <v>20866834957</v>
      </c>
      <c r="H639" s="22">
        <f t="shared" si="40"/>
        <v>0.60730482675717212</v>
      </c>
      <c r="I639" s="10"/>
    </row>
    <row r="640" spans="2:9" x14ac:dyDescent="0.25">
      <c r="B640" s="10"/>
      <c r="C640" s="10"/>
      <c r="D640" s="18">
        <v>623</v>
      </c>
      <c r="E640" s="21">
        <f t="shared" si="41"/>
        <v>20866834957</v>
      </c>
      <c r="F640" s="21">
        <f t="shared" si="38"/>
        <v>10746420002856</v>
      </c>
      <c r="G640" s="21">
        <f t="shared" si="39"/>
        <v>26181632040</v>
      </c>
      <c r="H640" s="22">
        <f t="shared" si="40"/>
        <v>0.76198577997274697</v>
      </c>
      <c r="I640" s="10"/>
    </row>
    <row r="641" spans="2:9" x14ac:dyDescent="0.25">
      <c r="B641" s="10"/>
      <c r="C641" s="10"/>
      <c r="D641" s="18">
        <v>624</v>
      </c>
      <c r="E641" s="21">
        <f t="shared" si="41"/>
        <v>26181632040</v>
      </c>
      <c r="F641" s="21">
        <f t="shared" si="38"/>
        <v>13483540500601</v>
      </c>
      <c r="G641" s="21">
        <f t="shared" si="39"/>
        <v>14523060345</v>
      </c>
      <c r="H641" s="22">
        <f t="shared" si="40"/>
        <v>0.42267668599379249</v>
      </c>
      <c r="I641" s="10"/>
    </row>
    <row r="642" spans="2:9" x14ac:dyDescent="0.25">
      <c r="B642" s="10"/>
      <c r="C642" s="10"/>
      <c r="D642" s="18">
        <v>625</v>
      </c>
      <c r="E642" s="21">
        <f t="shared" si="41"/>
        <v>14523060345</v>
      </c>
      <c r="F642" s="21">
        <f t="shared" si="38"/>
        <v>7479376077676</v>
      </c>
      <c r="G642" s="21">
        <f t="shared" si="39"/>
        <v>23312851820</v>
      </c>
      <c r="H642" s="22">
        <f t="shared" si="40"/>
        <v>0.67849328683223575</v>
      </c>
      <c r="I642" s="10"/>
    </row>
    <row r="643" spans="2:9" x14ac:dyDescent="0.25">
      <c r="B643" s="10"/>
      <c r="C643" s="10"/>
      <c r="D643" s="18">
        <v>626</v>
      </c>
      <c r="E643" s="21">
        <f t="shared" si="41"/>
        <v>23312851820</v>
      </c>
      <c r="F643" s="21">
        <f t="shared" si="38"/>
        <v>12006118687301</v>
      </c>
      <c r="G643" s="21">
        <f t="shared" si="39"/>
        <v>14569996869</v>
      </c>
      <c r="H643" s="22">
        <f t="shared" si="40"/>
        <v>0.4240427186305169</v>
      </c>
      <c r="I643" s="10"/>
    </row>
    <row r="644" spans="2:9" x14ac:dyDescent="0.25">
      <c r="B644" s="10"/>
      <c r="C644" s="10"/>
      <c r="D644" s="18">
        <v>627</v>
      </c>
      <c r="E644" s="21">
        <f t="shared" si="41"/>
        <v>14569996869</v>
      </c>
      <c r="F644" s="21">
        <f t="shared" si="38"/>
        <v>7503548387536</v>
      </c>
      <c r="G644" s="21">
        <f t="shared" si="39"/>
        <v>13125423312</v>
      </c>
      <c r="H644" s="22">
        <f t="shared" si="40"/>
        <v>0.38200009474530816</v>
      </c>
      <c r="I644" s="10"/>
    </row>
    <row r="645" spans="2:9" x14ac:dyDescent="0.25">
      <c r="B645" s="10"/>
      <c r="C645" s="10"/>
      <c r="D645" s="18">
        <v>628</v>
      </c>
      <c r="E645" s="21">
        <f t="shared" si="41"/>
        <v>13125423312</v>
      </c>
      <c r="F645" s="21">
        <f t="shared" si="38"/>
        <v>6759593005681</v>
      </c>
      <c r="G645" s="21">
        <f t="shared" si="39"/>
        <v>25084285553</v>
      </c>
      <c r="H645" s="22">
        <f t="shared" si="40"/>
        <v>0.73004879386280663</v>
      </c>
      <c r="I645" s="10"/>
    </row>
    <row r="646" spans="2:9" x14ac:dyDescent="0.25">
      <c r="B646" s="10"/>
      <c r="C646" s="10"/>
      <c r="D646" s="18">
        <v>629</v>
      </c>
      <c r="E646" s="21">
        <f t="shared" si="41"/>
        <v>25084285553</v>
      </c>
      <c r="F646" s="21">
        <f t="shared" si="38"/>
        <v>12918407059796</v>
      </c>
      <c r="G646" s="21">
        <f t="shared" si="39"/>
        <v>33505171796</v>
      </c>
      <c r="H646" s="22">
        <f t="shared" si="40"/>
        <v>0.97512883937451988</v>
      </c>
      <c r="I646" s="10"/>
    </row>
    <row r="647" spans="2:9" x14ac:dyDescent="0.25">
      <c r="B647" s="10"/>
      <c r="C647" s="10"/>
      <c r="D647" s="18">
        <v>630</v>
      </c>
      <c r="E647" s="21">
        <f t="shared" si="41"/>
        <v>33505171796</v>
      </c>
      <c r="F647" s="21">
        <f t="shared" si="38"/>
        <v>17255163474941</v>
      </c>
      <c r="G647" s="21">
        <f t="shared" si="39"/>
        <v>6574814205</v>
      </c>
      <c r="H647" s="22">
        <f t="shared" si="40"/>
        <v>0.19135227790684439</v>
      </c>
      <c r="I647" s="10"/>
    </row>
    <row r="648" spans="2:9" x14ac:dyDescent="0.25">
      <c r="B648" s="10"/>
      <c r="C648" s="10"/>
      <c r="D648" s="18">
        <v>631</v>
      </c>
      <c r="E648" s="21">
        <f t="shared" si="41"/>
        <v>6574814205</v>
      </c>
      <c r="F648" s="21">
        <f t="shared" si="38"/>
        <v>3386029315576</v>
      </c>
      <c r="G648" s="21">
        <f t="shared" si="39"/>
        <v>18774955512</v>
      </c>
      <c r="H648" s="22">
        <f t="shared" si="40"/>
        <v>0.54642312205396593</v>
      </c>
      <c r="I648" s="10"/>
    </row>
    <row r="649" spans="2:9" x14ac:dyDescent="0.25">
      <c r="B649" s="10"/>
      <c r="C649" s="10"/>
      <c r="D649" s="18">
        <v>632</v>
      </c>
      <c r="E649" s="21">
        <f t="shared" si="41"/>
        <v>18774955512</v>
      </c>
      <c r="F649" s="21">
        <f t="shared" si="38"/>
        <v>9669102088681</v>
      </c>
      <c r="G649" s="21">
        <f t="shared" si="39"/>
        <v>14015607273</v>
      </c>
      <c r="H649" s="22">
        <f t="shared" si="40"/>
        <v>0.40790785782155581</v>
      </c>
      <c r="I649" s="10"/>
    </row>
    <row r="650" spans="2:9" x14ac:dyDescent="0.25">
      <c r="B650" s="10"/>
      <c r="C650" s="10"/>
      <c r="D650" s="18">
        <v>633</v>
      </c>
      <c r="E650" s="21">
        <f t="shared" si="41"/>
        <v>14015607273</v>
      </c>
      <c r="F650" s="21">
        <f t="shared" si="38"/>
        <v>7218037745596</v>
      </c>
      <c r="G650" s="21">
        <f t="shared" si="39"/>
        <v>2492688316</v>
      </c>
      <c r="H650" s="22">
        <f t="shared" si="40"/>
        <v>7.2546778130345047E-2</v>
      </c>
      <c r="I650" s="10"/>
    </row>
    <row r="651" spans="2:9" x14ac:dyDescent="0.25">
      <c r="B651" s="10"/>
      <c r="C651" s="10"/>
      <c r="D651" s="18">
        <v>634</v>
      </c>
      <c r="E651" s="21">
        <f t="shared" si="41"/>
        <v>2492688316</v>
      </c>
      <c r="F651" s="21">
        <f t="shared" si="38"/>
        <v>1283734482741</v>
      </c>
      <c r="G651" s="21">
        <f t="shared" si="39"/>
        <v>12424163125</v>
      </c>
      <c r="H651" s="22">
        <f t="shared" si="40"/>
        <v>0.36159073715680279</v>
      </c>
      <c r="I651" s="10"/>
    </row>
    <row r="652" spans="2:9" x14ac:dyDescent="0.25">
      <c r="B652" s="10"/>
      <c r="C652" s="10"/>
      <c r="D652" s="18">
        <v>635</v>
      </c>
      <c r="E652" s="21">
        <f t="shared" si="41"/>
        <v>12424163125</v>
      </c>
      <c r="F652" s="21">
        <f t="shared" si="38"/>
        <v>6398444009376</v>
      </c>
      <c r="G652" s="21">
        <f t="shared" si="39"/>
        <v>7532672928</v>
      </c>
      <c r="H652" s="22">
        <f t="shared" si="40"/>
        <v>0.21922963578253984</v>
      </c>
      <c r="I652" s="10"/>
    </row>
    <row r="653" spans="2:9" x14ac:dyDescent="0.25">
      <c r="B653" s="10"/>
      <c r="C653" s="10"/>
      <c r="D653" s="18">
        <v>636</v>
      </c>
      <c r="E653" s="21">
        <f t="shared" si="41"/>
        <v>7532672928</v>
      </c>
      <c r="F653" s="21">
        <f t="shared" si="38"/>
        <v>3879326557921</v>
      </c>
      <c r="G653" s="21">
        <f t="shared" si="39"/>
        <v>31035860705</v>
      </c>
      <c r="H653" s="22">
        <f t="shared" si="40"/>
        <v>0.90326242803712375</v>
      </c>
      <c r="I653" s="10"/>
    </row>
    <row r="654" spans="2:9" x14ac:dyDescent="0.25">
      <c r="B654" s="10"/>
      <c r="C654" s="10"/>
      <c r="D654" s="18">
        <v>637</v>
      </c>
      <c r="E654" s="21">
        <f t="shared" si="41"/>
        <v>31035860705</v>
      </c>
      <c r="F654" s="21">
        <f t="shared" si="38"/>
        <v>15983468263076</v>
      </c>
      <c r="G654" s="21">
        <f t="shared" si="39"/>
        <v>6189921956</v>
      </c>
      <c r="H654" s="22">
        <f t="shared" si="40"/>
        <v>0.18015043914783746</v>
      </c>
      <c r="I654" s="10"/>
    </row>
    <row r="655" spans="2:9" x14ac:dyDescent="0.25">
      <c r="B655" s="10"/>
      <c r="C655" s="10"/>
      <c r="D655" s="18">
        <v>638</v>
      </c>
      <c r="E655" s="21">
        <f t="shared" si="41"/>
        <v>6189921956</v>
      </c>
      <c r="F655" s="21">
        <f t="shared" si="38"/>
        <v>3187809807341</v>
      </c>
      <c r="G655" s="21">
        <f t="shared" si="39"/>
        <v>26713877485</v>
      </c>
      <c r="H655" s="22">
        <f t="shared" si="40"/>
        <v>0.77747616116539575</v>
      </c>
      <c r="I655" s="10"/>
    </row>
    <row r="656" spans="2:9" x14ac:dyDescent="0.25">
      <c r="B656" s="10"/>
      <c r="C656" s="10"/>
      <c r="D656" s="18">
        <v>639</v>
      </c>
      <c r="E656" s="21">
        <f t="shared" si="41"/>
        <v>26713877485</v>
      </c>
      <c r="F656" s="21">
        <f t="shared" si="38"/>
        <v>13757646904776</v>
      </c>
      <c r="G656" s="21">
        <f t="shared" si="39"/>
        <v>13751557576</v>
      </c>
      <c r="H656" s="22">
        <f t="shared" si="40"/>
        <v>0.4002230002079159</v>
      </c>
      <c r="I656" s="10"/>
    </row>
    <row r="657" spans="2:9" x14ac:dyDescent="0.25">
      <c r="B657" s="10"/>
      <c r="C657" s="10"/>
      <c r="D657" s="18">
        <v>640</v>
      </c>
      <c r="E657" s="21">
        <f t="shared" si="41"/>
        <v>13751557576</v>
      </c>
      <c r="F657" s="21">
        <f t="shared" si="38"/>
        <v>7082052151641</v>
      </c>
      <c r="G657" s="21">
        <f t="shared" si="39"/>
        <v>3946047833</v>
      </c>
      <c r="H657" s="22">
        <f t="shared" si="40"/>
        <v>0.11484510710579343</v>
      </c>
      <c r="I657" s="10"/>
    </row>
    <row r="658" spans="2:9" x14ac:dyDescent="0.25">
      <c r="B658" s="10"/>
      <c r="C658" s="10"/>
      <c r="D658" s="18">
        <v>641</v>
      </c>
      <c r="E658" s="21">
        <f t="shared" si="41"/>
        <v>3946047833</v>
      </c>
      <c r="F658" s="21">
        <f t="shared" si="38"/>
        <v>2032214633996</v>
      </c>
      <c r="G658" s="21">
        <f t="shared" si="39"/>
        <v>4990070284</v>
      </c>
      <c r="H658" s="22">
        <f t="shared" si="40"/>
        <v>0.145230159512721</v>
      </c>
      <c r="I658" s="10"/>
    </row>
    <row r="659" spans="2:9" x14ac:dyDescent="0.25">
      <c r="B659" s="10"/>
      <c r="C659" s="10"/>
      <c r="D659" s="18">
        <v>642</v>
      </c>
      <c r="E659" s="21">
        <f t="shared" si="41"/>
        <v>4990070284</v>
      </c>
      <c r="F659" s="21">
        <f t="shared" ref="F659:F722" si="42">E$7 * E659 + H$7</f>
        <v>2569886196261</v>
      </c>
      <c r="G659" s="21">
        <f t="shared" ref="G659:G722" si="43">MOD(F659,F$7)</f>
        <v>27265557029</v>
      </c>
      <c r="H659" s="22">
        <f t="shared" ref="H659:H722" si="44">G659/F$7</f>
        <v>0.79353214908041991</v>
      </c>
      <c r="I659" s="10"/>
    </row>
    <row r="660" spans="2:9" x14ac:dyDescent="0.25">
      <c r="B660" s="10"/>
      <c r="C660" s="10"/>
      <c r="D660" s="18">
        <v>643</v>
      </c>
      <c r="E660" s="21">
        <f t="shared" si="41"/>
        <v>27265557029</v>
      </c>
      <c r="F660" s="21">
        <f t="shared" si="42"/>
        <v>14041761869936</v>
      </c>
      <c r="G660" s="21">
        <f t="shared" si="43"/>
        <v>22988615792</v>
      </c>
      <c r="H660" s="22">
        <f t="shared" si="44"/>
        <v>0.66905677644535899</v>
      </c>
      <c r="I660" s="10"/>
    </row>
    <row r="661" spans="2:9" x14ac:dyDescent="0.25">
      <c r="B661" s="10"/>
      <c r="C661" s="10"/>
      <c r="D661" s="18">
        <v>644</v>
      </c>
      <c r="E661" s="21">
        <f t="shared" si="41"/>
        <v>22988615792</v>
      </c>
      <c r="F661" s="21">
        <f t="shared" si="42"/>
        <v>11839137132881</v>
      </c>
      <c r="G661" s="21">
        <f t="shared" si="43"/>
        <v>19387134289</v>
      </c>
      <c r="H661" s="22">
        <f t="shared" si="44"/>
        <v>0.56423986938898452</v>
      </c>
      <c r="I661" s="10"/>
    </row>
    <row r="662" spans="2:9" x14ac:dyDescent="0.25">
      <c r="B662" s="10"/>
      <c r="C662" s="10"/>
      <c r="D662" s="18">
        <v>645</v>
      </c>
      <c r="E662" s="21">
        <f t="shared" si="41"/>
        <v>19387134289</v>
      </c>
      <c r="F662" s="21">
        <f t="shared" si="42"/>
        <v>9984374158836</v>
      </c>
      <c r="G662" s="21">
        <f t="shared" si="43"/>
        <v>20050032116</v>
      </c>
      <c r="H662" s="22">
        <f t="shared" si="44"/>
        <v>0.58353273535612971</v>
      </c>
      <c r="I662" s="10"/>
    </row>
    <row r="663" spans="2:9" x14ac:dyDescent="0.25">
      <c r="B663" s="10"/>
      <c r="C663" s="10"/>
      <c r="D663" s="18">
        <v>646</v>
      </c>
      <c r="E663" s="21">
        <f t="shared" si="41"/>
        <v>20050032116</v>
      </c>
      <c r="F663" s="21">
        <f t="shared" si="42"/>
        <v>10325766539741</v>
      </c>
      <c r="G663" s="21">
        <f t="shared" si="43"/>
        <v>17845029341</v>
      </c>
      <c r="H663" s="22">
        <f t="shared" si="44"/>
        <v>0.51935870843590237</v>
      </c>
      <c r="I663" s="10"/>
    </row>
    <row r="664" spans="2:9" x14ac:dyDescent="0.25">
      <c r="B664" s="10"/>
      <c r="C664" s="10"/>
      <c r="D664" s="18">
        <v>647</v>
      </c>
      <c r="E664" s="21">
        <f t="shared" si="41"/>
        <v>17845029341</v>
      </c>
      <c r="F664" s="21">
        <f t="shared" si="42"/>
        <v>9190190110616</v>
      </c>
      <c r="G664" s="21">
        <f t="shared" si="43"/>
        <v>16139966360</v>
      </c>
      <c r="H664" s="22">
        <f t="shared" si="44"/>
        <v>0.46973484451882541</v>
      </c>
      <c r="I664" s="10"/>
    </row>
    <row r="665" spans="2:9" x14ac:dyDescent="0.25">
      <c r="B665" s="10"/>
      <c r="C665" s="10"/>
      <c r="D665" s="18">
        <v>648</v>
      </c>
      <c r="E665" s="21">
        <f t="shared" si="41"/>
        <v>16139966360</v>
      </c>
      <c r="F665" s="21">
        <f t="shared" si="42"/>
        <v>8312082675401</v>
      </c>
      <c r="G665" s="21">
        <f t="shared" si="43"/>
        <v>31385728713</v>
      </c>
      <c r="H665" s="22">
        <f t="shared" si="44"/>
        <v>0.91344492722419091</v>
      </c>
      <c r="I665" s="10"/>
    </row>
    <row r="666" spans="2:9" x14ac:dyDescent="0.25">
      <c r="B666" s="10"/>
      <c r="C666" s="10"/>
      <c r="D666" s="18">
        <v>649</v>
      </c>
      <c r="E666" s="21">
        <f t="shared" si="41"/>
        <v>31385728713</v>
      </c>
      <c r="F666" s="21">
        <f t="shared" si="42"/>
        <v>16163650287196</v>
      </c>
      <c r="G666" s="21">
        <f t="shared" si="43"/>
        <v>14573254236</v>
      </c>
      <c r="H666" s="22">
        <f t="shared" si="44"/>
        <v>0.42413752048742026</v>
      </c>
      <c r="I666" s="10"/>
    </row>
    <row r="667" spans="2:9" x14ac:dyDescent="0.25">
      <c r="B667" s="10"/>
      <c r="C667" s="10"/>
      <c r="D667" s="18">
        <v>650</v>
      </c>
      <c r="E667" s="21">
        <f t="shared" si="41"/>
        <v>14573254236</v>
      </c>
      <c r="F667" s="21">
        <f t="shared" si="42"/>
        <v>7505225931541</v>
      </c>
      <c r="G667" s="21">
        <f t="shared" si="43"/>
        <v>14802967317</v>
      </c>
      <c r="H667" s="22">
        <f t="shared" si="44"/>
        <v>0.4308230510505382</v>
      </c>
      <c r="I667" s="10"/>
    </row>
    <row r="668" spans="2:9" x14ac:dyDescent="0.25">
      <c r="B668" s="10"/>
      <c r="C668" s="10"/>
      <c r="D668" s="18">
        <v>651</v>
      </c>
      <c r="E668" s="21">
        <f t="shared" si="41"/>
        <v>14802967317</v>
      </c>
      <c r="F668" s="21">
        <f t="shared" si="42"/>
        <v>7623528168256</v>
      </c>
      <c r="G668" s="21">
        <f t="shared" si="43"/>
        <v>30025988928</v>
      </c>
      <c r="H668" s="22">
        <f t="shared" si="44"/>
        <v>0.87387129105627537</v>
      </c>
      <c r="I668" s="10"/>
    </row>
    <row r="669" spans="2:9" x14ac:dyDescent="0.25">
      <c r="B669" s="10"/>
      <c r="C669" s="10"/>
      <c r="D669" s="18">
        <v>652</v>
      </c>
      <c r="E669" s="21">
        <f t="shared" si="41"/>
        <v>30025988928</v>
      </c>
      <c r="F669" s="21">
        <f t="shared" si="42"/>
        <v>15463384297921</v>
      </c>
      <c r="G669" s="21">
        <f t="shared" si="43"/>
        <v>1502032321</v>
      </c>
      <c r="H669" s="22">
        <f t="shared" si="44"/>
        <v>4.3714894010918215E-2</v>
      </c>
      <c r="I669" s="10"/>
    </row>
    <row r="670" spans="2:9" x14ac:dyDescent="0.25">
      <c r="B670" s="10"/>
      <c r="C670" s="10"/>
      <c r="D670" s="18">
        <v>653</v>
      </c>
      <c r="E670" s="21">
        <f t="shared" si="41"/>
        <v>1502032321</v>
      </c>
      <c r="F670" s="21">
        <f t="shared" si="42"/>
        <v>773546645316</v>
      </c>
      <c r="G670" s="21">
        <f t="shared" si="43"/>
        <v>17632401220</v>
      </c>
      <c r="H670" s="22">
        <f t="shared" si="44"/>
        <v>0.51317041565198451</v>
      </c>
      <c r="I670" s="10"/>
    </row>
    <row r="671" spans="2:9" x14ac:dyDescent="0.25">
      <c r="B671" s="10"/>
      <c r="C671" s="10"/>
      <c r="D671" s="18">
        <v>654</v>
      </c>
      <c r="E671" s="21">
        <f t="shared" si="41"/>
        <v>17632401220</v>
      </c>
      <c r="F671" s="21">
        <f t="shared" si="42"/>
        <v>9080686628301</v>
      </c>
      <c r="G671" s="21">
        <f t="shared" si="43"/>
        <v>9715699149</v>
      </c>
      <c r="H671" s="22">
        <f t="shared" si="44"/>
        <v>0.28276406080112793</v>
      </c>
      <c r="I671" s="10"/>
    </row>
    <row r="672" spans="2:9" x14ac:dyDescent="0.25">
      <c r="B672" s="10"/>
      <c r="C672" s="10"/>
      <c r="D672" s="18">
        <v>655</v>
      </c>
      <c r="E672" s="21">
        <f t="shared" si="41"/>
        <v>9715699149</v>
      </c>
      <c r="F672" s="21">
        <f t="shared" si="42"/>
        <v>5003585061736</v>
      </c>
      <c r="G672" s="21">
        <f t="shared" si="43"/>
        <v>21422998376</v>
      </c>
      <c r="H672" s="22">
        <f t="shared" si="44"/>
        <v>0.62349131260998547</v>
      </c>
      <c r="I672" s="10"/>
    </row>
    <row r="673" spans="2:9" x14ac:dyDescent="0.25">
      <c r="B673" s="10"/>
      <c r="C673" s="10"/>
      <c r="D673" s="18">
        <v>656</v>
      </c>
      <c r="E673" s="21">
        <f t="shared" si="41"/>
        <v>21422998376</v>
      </c>
      <c r="F673" s="21">
        <f t="shared" si="42"/>
        <v>11032844163641</v>
      </c>
      <c r="G673" s="21">
        <f t="shared" si="43"/>
        <v>3368147513</v>
      </c>
      <c r="H673" s="22">
        <f t="shared" si="44"/>
        <v>9.8025994171621278E-2</v>
      </c>
      <c r="I673" s="10"/>
    </row>
    <row r="674" spans="2:9" x14ac:dyDescent="0.25">
      <c r="B674" s="10"/>
      <c r="C674" s="10"/>
      <c r="D674" s="18">
        <v>657</v>
      </c>
      <c r="E674" s="21">
        <f t="shared" si="41"/>
        <v>3368147513</v>
      </c>
      <c r="F674" s="21">
        <f t="shared" si="42"/>
        <v>1734595969196</v>
      </c>
      <c r="G674" s="21">
        <f t="shared" si="43"/>
        <v>16609050796</v>
      </c>
      <c r="H674" s="22">
        <f t="shared" si="44"/>
        <v>0.48338699841406196</v>
      </c>
      <c r="I674" s="10"/>
    </row>
    <row r="675" spans="2:9" x14ac:dyDescent="0.25">
      <c r="B675" s="10"/>
      <c r="C675" s="10"/>
      <c r="D675" s="18">
        <v>658</v>
      </c>
      <c r="E675" s="21">
        <f t="shared" si="41"/>
        <v>16609050796</v>
      </c>
      <c r="F675" s="21">
        <f t="shared" si="42"/>
        <v>8553661159941</v>
      </c>
      <c r="G675" s="21">
        <f t="shared" si="43"/>
        <v>32446044677</v>
      </c>
      <c r="H675" s="22">
        <f t="shared" si="44"/>
        <v>0.94430418327101506</v>
      </c>
      <c r="I675" s="10"/>
    </row>
    <row r="676" spans="2:9" x14ac:dyDescent="0.25">
      <c r="B676" s="10"/>
      <c r="C676" s="10"/>
      <c r="D676" s="18">
        <v>659</v>
      </c>
      <c r="E676" s="21">
        <f t="shared" si="41"/>
        <v>32446044677</v>
      </c>
      <c r="F676" s="21">
        <f t="shared" si="42"/>
        <v>16709713008656</v>
      </c>
      <c r="G676" s="21">
        <f t="shared" si="43"/>
        <v>10880161808</v>
      </c>
      <c r="H676" s="22">
        <f t="shared" si="44"/>
        <v>0.31665438460186124</v>
      </c>
      <c r="I676" s="10"/>
    </row>
    <row r="677" spans="2:9" x14ac:dyDescent="0.25">
      <c r="B677" s="10"/>
      <c r="C677" s="10"/>
      <c r="D677" s="18">
        <v>660</v>
      </c>
      <c r="E677" s="21">
        <f t="shared" si="41"/>
        <v>10880161808</v>
      </c>
      <c r="F677" s="21">
        <f t="shared" si="42"/>
        <v>5603283331121</v>
      </c>
      <c r="G677" s="21">
        <f t="shared" si="43"/>
        <v>2645977137</v>
      </c>
      <c r="H677" s="22">
        <f t="shared" si="44"/>
        <v>7.7008069987641647E-2</v>
      </c>
      <c r="I677" s="10"/>
    </row>
    <row r="678" spans="2:9" x14ac:dyDescent="0.25">
      <c r="B678" s="10"/>
      <c r="C678" s="10"/>
      <c r="D678" s="18">
        <v>661</v>
      </c>
      <c r="E678" s="21">
        <f t="shared" si="41"/>
        <v>2645977137</v>
      </c>
      <c r="F678" s="21">
        <f t="shared" si="42"/>
        <v>1362678225556</v>
      </c>
      <c r="G678" s="21">
        <f t="shared" si="43"/>
        <v>22648429204</v>
      </c>
      <c r="H678" s="22">
        <f t="shared" si="44"/>
        <v>0.65915604366455227</v>
      </c>
      <c r="I678" s="10"/>
    </row>
    <row r="679" spans="2:9" x14ac:dyDescent="0.25">
      <c r="B679" s="10"/>
      <c r="C679" s="10"/>
      <c r="D679" s="18">
        <v>662</v>
      </c>
      <c r="E679" s="21">
        <f t="shared" si="41"/>
        <v>22648429204</v>
      </c>
      <c r="F679" s="21">
        <f t="shared" si="42"/>
        <v>11663941040061</v>
      </c>
      <c r="G679" s="21">
        <f t="shared" si="43"/>
        <v>15989733309</v>
      </c>
      <c r="H679" s="22">
        <f t="shared" si="44"/>
        <v>0.46536248727352358</v>
      </c>
      <c r="I679" s="10"/>
    </row>
    <row r="680" spans="2:9" x14ac:dyDescent="0.25">
      <c r="B680" s="10"/>
      <c r="C680" s="10"/>
      <c r="D680" s="18">
        <v>663</v>
      </c>
      <c r="E680" s="21">
        <f t="shared" si="41"/>
        <v>15989733309</v>
      </c>
      <c r="F680" s="21">
        <f t="shared" si="42"/>
        <v>8234712654136</v>
      </c>
      <c r="G680" s="21">
        <f t="shared" si="43"/>
        <v>22735184184</v>
      </c>
      <c r="H680" s="22">
        <f t="shared" si="44"/>
        <v>0.66168094589374959</v>
      </c>
      <c r="I680" s="10"/>
    </row>
    <row r="681" spans="2:9" x14ac:dyDescent="0.25">
      <c r="B681" s="10"/>
      <c r="C681" s="10"/>
      <c r="D681" s="18">
        <v>664</v>
      </c>
      <c r="E681" s="21">
        <f t="shared" si="41"/>
        <v>22735184184</v>
      </c>
      <c r="F681" s="21">
        <f t="shared" si="42"/>
        <v>11708619854761</v>
      </c>
      <c r="G681" s="21">
        <f t="shared" si="43"/>
        <v>26308809641</v>
      </c>
      <c r="H681" s="22">
        <f t="shared" si="44"/>
        <v>0.76568713531014509</v>
      </c>
      <c r="I681" s="10"/>
    </row>
    <row r="682" spans="2:9" x14ac:dyDescent="0.25">
      <c r="B682" s="10"/>
      <c r="C682" s="10"/>
      <c r="D682" s="18">
        <v>665</v>
      </c>
      <c r="E682" s="21">
        <f t="shared" si="41"/>
        <v>26308809641</v>
      </c>
      <c r="F682" s="21">
        <f t="shared" si="42"/>
        <v>13549036965116</v>
      </c>
      <c r="G682" s="21">
        <f t="shared" si="43"/>
        <v>11300048124</v>
      </c>
      <c r="H682" s="22">
        <f t="shared" si="44"/>
        <v>0.32887468475382775</v>
      </c>
      <c r="I682" s="10"/>
    </row>
    <row r="683" spans="2:9" x14ac:dyDescent="0.25">
      <c r="B683" s="10"/>
      <c r="C683" s="10"/>
      <c r="D683" s="18">
        <v>666</v>
      </c>
      <c r="E683" s="21">
        <f t="shared" si="41"/>
        <v>11300048124</v>
      </c>
      <c r="F683" s="21">
        <f t="shared" si="42"/>
        <v>5819524783861</v>
      </c>
      <c r="G683" s="21">
        <f t="shared" si="43"/>
        <v>12728999669</v>
      </c>
      <c r="H683" s="22">
        <f t="shared" si="44"/>
        <v>0.37046264825039543</v>
      </c>
      <c r="I683" s="10"/>
    </row>
    <row r="684" spans="2:9" x14ac:dyDescent="0.25">
      <c r="B684" s="10"/>
      <c r="C684" s="10"/>
      <c r="D684" s="18">
        <v>667</v>
      </c>
      <c r="E684" s="21">
        <f t="shared" si="41"/>
        <v>12728999669</v>
      </c>
      <c r="F684" s="21">
        <f t="shared" si="42"/>
        <v>6555434829536</v>
      </c>
      <c r="G684" s="21">
        <f t="shared" si="43"/>
        <v>27084539616</v>
      </c>
      <c r="H684" s="22">
        <f t="shared" si="44"/>
        <v>0.78826384898275137</v>
      </c>
      <c r="I684" s="10"/>
    </row>
    <row r="685" spans="2:9" x14ac:dyDescent="0.25">
      <c r="B685" s="10"/>
      <c r="C685" s="10"/>
      <c r="D685" s="18">
        <v>668</v>
      </c>
      <c r="E685" s="21">
        <f t="shared" si="41"/>
        <v>27084539616</v>
      </c>
      <c r="F685" s="21">
        <f t="shared" si="42"/>
        <v>13948537902241</v>
      </c>
      <c r="G685" s="21">
        <f t="shared" si="43"/>
        <v>32843863201</v>
      </c>
      <c r="H685" s="22">
        <f t="shared" si="44"/>
        <v>0.95588222614605911</v>
      </c>
      <c r="I685" s="10"/>
    </row>
    <row r="686" spans="2:9" x14ac:dyDescent="0.25">
      <c r="B686" s="10"/>
      <c r="C686" s="10"/>
      <c r="D686" s="18">
        <v>669</v>
      </c>
      <c r="E686" s="21">
        <f t="shared" si="41"/>
        <v>32843863201</v>
      </c>
      <c r="F686" s="21">
        <f t="shared" si="42"/>
        <v>16914589548516</v>
      </c>
      <c r="G686" s="21">
        <f t="shared" si="43"/>
        <v>9598271460</v>
      </c>
      <c r="H686" s="22">
        <f t="shared" si="44"/>
        <v>0.27934646524954587</v>
      </c>
      <c r="I686" s="10"/>
    </row>
    <row r="687" spans="2:9" x14ac:dyDescent="0.25">
      <c r="B687" s="10"/>
      <c r="C687" s="10"/>
      <c r="D687" s="18">
        <v>670</v>
      </c>
      <c r="E687" s="21">
        <f t="shared" si="41"/>
        <v>9598271460</v>
      </c>
      <c r="F687" s="21">
        <f t="shared" si="42"/>
        <v>4943109801901</v>
      </c>
      <c r="G687" s="21">
        <f t="shared" si="43"/>
        <v>29667215277</v>
      </c>
      <c r="H687" s="22">
        <f t="shared" si="44"/>
        <v>0.86342960354522802</v>
      </c>
      <c r="I687" s="10"/>
    </row>
    <row r="688" spans="2:9" x14ac:dyDescent="0.25">
      <c r="B688" s="10"/>
      <c r="C688" s="10"/>
      <c r="D688" s="18">
        <v>671</v>
      </c>
      <c r="E688" s="21">
        <f t="shared" si="41"/>
        <v>29667215277</v>
      </c>
      <c r="F688" s="21">
        <f t="shared" si="42"/>
        <v>15278615867656</v>
      </c>
      <c r="G688" s="21">
        <f t="shared" si="43"/>
        <v>22892032264</v>
      </c>
      <c r="H688" s="22">
        <f t="shared" si="44"/>
        <v>0.6662458258215338</v>
      </c>
      <c r="I688" s="10"/>
    </row>
    <row r="689" spans="2:9" x14ac:dyDescent="0.25">
      <c r="B689" s="10"/>
      <c r="C689" s="10"/>
      <c r="D689" s="18">
        <v>672</v>
      </c>
      <c r="E689" s="21">
        <f t="shared" si="41"/>
        <v>22892032264</v>
      </c>
      <c r="F689" s="21">
        <f t="shared" si="42"/>
        <v>11789396615961</v>
      </c>
      <c r="G689" s="21">
        <f t="shared" si="43"/>
        <v>4006355737</v>
      </c>
      <c r="H689" s="22">
        <f t="shared" si="44"/>
        <v>0.1166002981190104</v>
      </c>
      <c r="I689" s="10"/>
    </row>
    <row r="690" spans="2:9" x14ac:dyDescent="0.25">
      <c r="B690" s="10"/>
      <c r="C690" s="10"/>
      <c r="D690" s="18">
        <v>673</v>
      </c>
      <c r="E690" s="21">
        <f t="shared" si="41"/>
        <v>4006355737</v>
      </c>
      <c r="F690" s="21">
        <f t="shared" si="42"/>
        <v>2063273204556</v>
      </c>
      <c r="G690" s="21">
        <f t="shared" si="43"/>
        <v>1688902476</v>
      </c>
      <c r="H690" s="22">
        <f t="shared" si="44"/>
        <v>4.9153531319461763E-2</v>
      </c>
      <c r="I690" s="10"/>
    </row>
    <row r="691" spans="2:9" x14ac:dyDescent="0.25">
      <c r="B691" s="10"/>
      <c r="C691" s="10"/>
      <c r="D691" s="18">
        <v>674</v>
      </c>
      <c r="E691" s="21">
        <f t="shared" si="41"/>
        <v>1688902476</v>
      </c>
      <c r="F691" s="21">
        <f t="shared" si="42"/>
        <v>869784775141</v>
      </c>
      <c r="G691" s="21">
        <f t="shared" si="43"/>
        <v>10791315941</v>
      </c>
      <c r="H691" s="22">
        <f t="shared" si="44"/>
        <v>0.31406862955191173</v>
      </c>
      <c r="I691" s="10"/>
    </row>
    <row r="692" spans="2:9" x14ac:dyDescent="0.25">
      <c r="B692" s="10"/>
      <c r="C692" s="10"/>
      <c r="D692" s="18">
        <v>675</v>
      </c>
      <c r="E692" s="21">
        <f t="shared" si="41"/>
        <v>10791315941</v>
      </c>
      <c r="F692" s="21">
        <f t="shared" si="42"/>
        <v>5557527709616</v>
      </c>
      <c r="G692" s="21">
        <f t="shared" si="43"/>
        <v>25609832368</v>
      </c>
      <c r="H692" s="22">
        <f t="shared" si="44"/>
        <v>0.74534421926364303</v>
      </c>
      <c r="I692" s="10"/>
    </row>
    <row r="693" spans="2:9" x14ac:dyDescent="0.25">
      <c r="B693" s="10"/>
      <c r="C693" s="10"/>
      <c r="D693" s="18">
        <v>676</v>
      </c>
      <c r="E693" s="21">
        <f t="shared" si="41"/>
        <v>25609832368</v>
      </c>
      <c r="F693" s="21">
        <f t="shared" si="42"/>
        <v>13189063669521</v>
      </c>
      <c r="G693" s="21">
        <f t="shared" si="43"/>
        <v>29283874577</v>
      </c>
      <c r="H693" s="22">
        <f t="shared" si="44"/>
        <v>0.8522729208052624</v>
      </c>
      <c r="I693" s="10"/>
    </row>
    <row r="694" spans="2:9" x14ac:dyDescent="0.25">
      <c r="B694" s="10"/>
      <c r="C694" s="10"/>
      <c r="D694" s="18">
        <v>677</v>
      </c>
      <c r="E694" s="21">
        <f t="shared" ref="E694:E757" si="45">G693</f>
        <v>29283874577</v>
      </c>
      <c r="F694" s="21">
        <f t="shared" si="42"/>
        <v>15081195407156</v>
      </c>
      <c r="G694" s="21">
        <f t="shared" si="43"/>
        <v>31630001972</v>
      </c>
      <c r="H694" s="22">
        <f t="shared" si="44"/>
        <v>0.92055421473924071</v>
      </c>
      <c r="I694" s="10"/>
    </row>
    <row r="695" spans="2:9" x14ac:dyDescent="0.25">
      <c r="B695" s="10"/>
      <c r="C695" s="10"/>
      <c r="D695" s="18">
        <v>678</v>
      </c>
      <c r="E695" s="21">
        <f t="shared" si="45"/>
        <v>31630001972</v>
      </c>
      <c r="F695" s="21">
        <f t="shared" si="42"/>
        <v>16289451015581</v>
      </c>
      <c r="G695" s="21">
        <f t="shared" si="43"/>
        <v>2935029149</v>
      </c>
      <c r="H695" s="22">
        <f t="shared" si="44"/>
        <v>8.5420590738067403E-2</v>
      </c>
      <c r="I695" s="10"/>
    </row>
    <row r="696" spans="2:9" x14ac:dyDescent="0.25">
      <c r="B696" s="10"/>
      <c r="C696" s="10"/>
      <c r="D696" s="18">
        <v>679</v>
      </c>
      <c r="E696" s="21">
        <f t="shared" si="45"/>
        <v>2935029149</v>
      </c>
      <c r="F696" s="21">
        <f t="shared" si="42"/>
        <v>1511540011736</v>
      </c>
      <c r="G696" s="21">
        <f t="shared" si="43"/>
        <v>34071261912</v>
      </c>
      <c r="H696" s="22">
        <f t="shared" si="44"/>
        <v>0.9916042301338166</v>
      </c>
      <c r="I696" s="10"/>
    </row>
    <row r="697" spans="2:9" x14ac:dyDescent="0.25">
      <c r="B697" s="10"/>
      <c r="C697" s="10"/>
      <c r="D697" s="18">
        <v>680</v>
      </c>
      <c r="E697" s="21">
        <f t="shared" si="45"/>
        <v>34071261912</v>
      </c>
      <c r="F697" s="21">
        <f t="shared" si="42"/>
        <v>17546699884681</v>
      </c>
      <c r="G697" s="21">
        <f t="shared" si="43"/>
        <v>23233317001</v>
      </c>
      <c r="H697" s="22">
        <f t="shared" si="44"/>
        <v>0.67617851894465275</v>
      </c>
      <c r="I697" s="10"/>
    </row>
    <row r="698" spans="2:9" x14ac:dyDescent="0.25">
      <c r="B698" s="10"/>
      <c r="C698" s="10"/>
      <c r="D698" s="18">
        <v>681</v>
      </c>
      <c r="E698" s="21">
        <f t="shared" si="45"/>
        <v>23233317001</v>
      </c>
      <c r="F698" s="21">
        <f t="shared" si="42"/>
        <v>11965158255516</v>
      </c>
      <c r="G698" s="21">
        <f t="shared" si="43"/>
        <v>7969303452</v>
      </c>
      <c r="H698" s="22">
        <f t="shared" si="44"/>
        <v>0.23193725652527064</v>
      </c>
      <c r="I698" s="10"/>
    </row>
    <row r="699" spans="2:9" x14ac:dyDescent="0.25">
      <c r="B699" s="10"/>
      <c r="C699" s="10"/>
      <c r="D699" s="18">
        <v>682</v>
      </c>
      <c r="E699" s="21">
        <f t="shared" si="45"/>
        <v>7969303452</v>
      </c>
      <c r="F699" s="21">
        <f t="shared" si="42"/>
        <v>4104191277781</v>
      </c>
      <c r="G699" s="21">
        <f t="shared" si="43"/>
        <v>15382411989</v>
      </c>
      <c r="H699" s="22">
        <f t="shared" si="44"/>
        <v>0.44768711054348387</v>
      </c>
      <c r="I699" s="10"/>
    </row>
    <row r="700" spans="2:9" x14ac:dyDescent="0.25">
      <c r="B700" s="10"/>
      <c r="C700" s="10"/>
      <c r="D700" s="18">
        <v>683</v>
      </c>
      <c r="E700" s="21">
        <f t="shared" si="45"/>
        <v>15382411989</v>
      </c>
      <c r="F700" s="21">
        <f t="shared" si="42"/>
        <v>7921942174336</v>
      </c>
      <c r="G700" s="21">
        <f t="shared" si="43"/>
        <v>19202349696</v>
      </c>
      <c r="H700" s="22">
        <f t="shared" si="44"/>
        <v>0.55886192992329597</v>
      </c>
      <c r="I700" s="10"/>
    </row>
    <row r="701" spans="2:9" x14ac:dyDescent="0.25">
      <c r="B701" s="10"/>
      <c r="C701" s="10"/>
      <c r="D701" s="18">
        <v>684</v>
      </c>
      <c r="E701" s="21">
        <f t="shared" si="45"/>
        <v>19202349696</v>
      </c>
      <c r="F701" s="21">
        <f t="shared" si="42"/>
        <v>9889210093441</v>
      </c>
      <c r="G701" s="21">
        <f t="shared" si="43"/>
        <v>27965181825</v>
      </c>
      <c r="H701" s="22">
        <f t="shared" si="44"/>
        <v>0.81389391052653082</v>
      </c>
      <c r="I701" s="10"/>
    </row>
    <row r="702" spans="2:9" x14ac:dyDescent="0.25">
      <c r="B702" s="10"/>
      <c r="C702" s="10"/>
      <c r="D702" s="18">
        <v>685</v>
      </c>
      <c r="E702" s="21">
        <f t="shared" si="45"/>
        <v>27965181825</v>
      </c>
      <c r="F702" s="21">
        <f t="shared" si="42"/>
        <v>14402068639876</v>
      </c>
      <c r="G702" s="21">
        <f t="shared" si="43"/>
        <v>5338263684</v>
      </c>
      <c r="H702" s="22">
        <f t="shared" si="44"/>
        <v>0.15536392119247466</v>
      </c>
      <c r="I702" s="10"/>
    </row>
    <row r="703" spans="2:9" x14ac:dyDescent="0.25">
      <c r="B703" s="10"/>
      <c r="C703" s="10"/>
      <c r="D703" s="18">
        <v>686</v>
      </c>
      <c r="E703" s="21">
        <f t="shared" si="45"/>
        <v>5338263684</v>
      </c>
      <c r="F703" s="21">
        <f t="shared" si="42"/>
        <v>2749205797261</v>
      </c>
      <c r="G703" s="21">
        <f t="shared" si="43"/>
        <v>426727821</v>
      </c>
      <c r="H703" s="22">
        <f t="shared" si="44"/>
        <v>1.2419414153555408E-2</v>
      </c>
      <c r="I703" s="10"/>
    </row>
    <row r="704" spans="2:9" x14ac:dyDescent="0.25">
      <c r="B704" s="10"/>
      <c r="C704" s="10"/>
      <c r="D704" s="18">
        <v>687</v>
      </c>
      <c r="E704" s="21">
        <f t="shared" si="45"/>
        <v>426727821</v>
      </c>
      <c r="F704" s="21">
        <f t="shared" si="42"/>
        <v>219764827816</v>
      </c>
      <c r="G704" s="21">
        <f t="shared" si="43"/>
        <v>13606397608</v>
      </c>
      <c r="H704" s="22">
        <f t="shared" si="44"/>
        <v>0.39599828911013901</v>
      </c>
      <c r="I704" s="10"/>
    </row>
    <row r="705" spans="2:9" x14ac:dyDescent="0.25">
      <c r="B705" s="10"/>
      <c r="C705" s="10"/>
      <c r="D705" s="18">
        <v>688</v>
      </c>
      <c r="E705" s="21">
        <f t="shared" si="45"/>
        <v>13606397608</v>
      </c>
      <c r="F705" s="21">
        <f t="shared" si="42"/>
        <v>7007294768121</v>
      </c>
      <c r="G705" s="21">
        <f t="shared" si="43"/>
        <v>32267879417</v>
      </c>
      <c r="H705" s="22">
        <f t="shared" si="44"/>
        <v>0.93911889175069518</v>
      </c>
      <c r="I705" s="10"/>
    </row>
    <row r="706" spans="2:9" x14ac:dyDescent="0.25">
      <c r="B706" s="10"/>
      <c r="C706" s="10"/>
      <c r="D706" s="18">
        <v>689</v>
      </c>
      <c r="E706" s="21">
        <f t="shared" si="45"/>
        <v>32267879417</v>
      </c>
      <c r="F706" s="21">
        <f t="shared" si="42"/>
        <v>16617957899756</v>
      </c>
      <c r="G706" s="21">
        <f t="shared" si="43"/>
        <v>22204268012</v>
      </c>
      <c r="H706" s="22">
        <f t="shared" si="44"/>
        <v>0.64622925163712353</v>
      </c>
      <c r="I706" s="10"/>
    </row>
    <row r="707" spans="2:9" x14ac:dyDescent="0.25">
      <c r="B707" s="10"/>
      <c r="C707" s="10"/>
      <c r="D707" s="18">
        <v>690</v>
      </c>
      <c r="E707" s="21">
        <f t="shared" si="45"/>
        <v>22204268012</v>
      </c>
      <c r="F707" s="21">
        <f t="shared" si="42"/>
        <v>11435198026181</v>
      </c>
      <c r="G707" s="21">
        <f t="shared" si="43"/>
        <v>27764888005</v>
      </c>
      <c r="H707" s="22">
        <f t="shared" si="44"/>
        <v>0.80806459314771928</v>
      </c>
      <c r="I707" s="10"/>
    </row>
    <row r="708" spans="2:9" x14ac:dyDescent="0.25">
      <c r="B708" s="10"/>
      <c r="C708" s="10"/>
      <c r="D708" s="18">
        <v>691</v>
      </c>
      <c r="E708" s="21">
        <f t="shared" si="45"/>
        <v>27764888005</v>
      </c>
      <c r="F708" s="21">
        <f t="shared" si="42"/>
        <v>14298917322576</v>
      </c>
      <c r="G708" s="21">
        <f t="shared" si="43"/>
        <v>5266161488</v>
      </c>
      <c r="H708" s="22">
        <f t="shared" si="44"/>
        <v>0.15326547110453248</v>
      </c>
      <c r="I708" s="10"/>
    </row>
    <row r="709" spans="2:9" x14ac:dyDescent="0.25">
      <c r="B709" s="10"/>
      <c r="C709" s="10"/>
      <c r="D709" s="18">
        <v>692</v>
      </c>
      <c r="E709" s="21">
        <f t="shared" si="45"/>
        <v>5266161488</v>
      </c>
      <c r="F709" s="21">
        <f t="shared" si="42"/>
        <v>2712073166321</v>
      </c>
      <c r="G709" s="21">
        <f t="shared" si="43"/>
        <v>32013573617</v>
      </c>
      <c r="H709" s="22">
        <f t="shared" si="44"/>
        <v>0.93171761886333115</v>
      </c>
      <c r="I709" s="10"/>
    </row>
    <row r="710" spans="2:9" x14ac:dyDescent="0.25">
      <c r="B710" s="10"/>
      <c r="C710" s="10"/>
      <c r="D710" s="18">
        <v>693</v>
      </c>
      <c r="E710" s="21">
        <f t="shared" si="45"/>
        <v>32013573617</v>
      </c>
      <c r="F710" s="21">
        <f t="shared" si="42"/>
        <v>16486990412756</v>
      </c>
      <c r="G710" s="21">
        <f t="shared" si="43"/>
        <v>28675734484</v>
      </c>
      <c r="H710" s="22">
        <f t="shared" si="44"/>
        <v>0.83457371464464813</v>
      </c>
      <c r="I710" s="10"/>
    </row>
    <row r="711" spans="2:9" x14ac:dyDescent="0.25">
      <c r="B711" s="10"/>
      <c r="C711" s="10"/>
      <c r="D711" s="18">
        <v>694</v>
      </c>
      <c r="E711" s="21">
        <f t="shared" si="45"/>
        <v>28675734484</v>
      </c>
      <c r="F711" s="21">
        <f t="shared" si="42"/>
        <v>14768003259261</v>
      </c>
      <c r="G711" s="21">
        <f t="shared" si="43"/>
        <v>27675499389</v>
      </c>
      <c r="H711" s="22">
        <f t="shared" si="44"/>
        <v>0.80546304202289321</v>
      </c>
      <c r="I711" s="10"/>
    </row>
    <row r="712" spans="2:9" x14ac:dyDescent="0.25">
      <c r="B712" s="10"/>
      <c r="C712" s="10"/>
      <c r="D712" s="18">
        <v>695</v>
      </c>
      <c r="E712" s="21">
        <f t="shared" si="45"/>
        <v>27675499389</v>
      </c>
      <c r="F712" s="21">
        <f t="shared" si="42"/>
        <v>14252882185336</v>
      </c>
      <c r="G712" s="21">
        <f t="shared" si="43"/>
        <v>27950500984</v>
      </c>
      <c r="H712" s="22">
        <f t="shared" si="44"/>
        <v>0.81346664181910455</v>
      </c>
      <c r="I712" s="10"/>
    </row>
    <row r="713" spans="2:9" x14ac:dyDescent="0.25">
      <c r="B713" s="10"/>
      <c r="C713" s="10"/>
      <c r="D713" s="18">
        <v>696</v>
      </c>
      <c r="E713" s="21">
        <f t="shared" si="45"/>
        <v>27950500984</v>
      </c>
      <c r="F713" s="21">
        <f t="shared" si="42"/>
        <v>14394508006761</v>
      </c>
      <c r="G713" s="21">
        <f t="shared" si="43"/>
        <v>32137368937</v>
      </c>
      <c r="H713" s="22">
        <f t="shared" si="44"/>
        <v>0.93532053686794825</v>
      </c>
      <c r="I713" s="10"/>
    </row>
    <row r="714" spans="2:9" x14ac:dyDescent="0.25">
      <c r="B714" s="10"/>
      <c r="C714" s="10"/>
      <c r="D714" s="18">
        <v>697</v>
      </c>
      <c r="E714" s="21">
        <f t="shared" si="45"/>
        <v>32137368937</v>
      </c>
      <c r="F714" s="21">
        <f t="shared" si="42"/>
        <v>16550745002556</v>
      </c>
      <c r="G714" s="21">
        <f t="shared" si="43"/>
        <v>23710847548</v>
      </c>
      <c r="H714" s="22">
        <f t="shared" si="44"/>
        <v>0.69007648702245206</v>
      </c>
      <c r="I714" s="10"/>
    </row>
    <row r="715" spans="2:9" x14ac:dyDescent="0.25">
      <c r="B715" s="10"/>
      <c r="C715" s="10"/>
      <c r="D715" s="18">
        <v>698</v>
      </c>
      <c r="E715" s="21">
        <f t="shared" si="45"/>
        <v>23710847548</v>
      </c>
      <c r="F715" s="21">
        <f t="shared" si="42"/>
        <v>12211086487221</v>
      </c>
      <c r="G715" s="21">
        <f t="shared" si="43"/>
        <v>13379366581</v>
      </c>
      <c r="H715" s="22">
        <f t="shared" si="44"/>
        <v>0.38939081659191288</v>
      </c>
      <c r="I715" s="10"/>
    </row>
    <row r="716" spans="2:9" x14ac:dyDescent="0.25">
      <c r="B716" s="10"/>
      <c r="C716" s="10"/>
      <c r="D716" s="18">
        <v>699</v>
      </c>
      <c r="E716" s="21">
        <f t="shared" si="45"/>
        <v>13379366581</v>
      </c>
      <c r="F716" s="21">
        <f t="shared" si="42"/>
        <v>6890373789216</v>
      </c>
      <c r="G716" s="21">
        <f t="shared" si="43"/>
        <v>18426115616</v>
      </c>
      <c r="H716" s="22">
        <f t="shared" si="44"/>
        <v>0.53627054486423731</v>
      </c>
      <c r="I716" s="10"/>
    </row>
    <row r="717" spans="2:9" x14ac:dyDescent="0.25">
      <c r="B717" s="10"/>
      <c r="C717" s="10"/>
      <c r="D717" s="18">
        <v>700</v>
      </c>
      <c r="E717" s="21">
        <f t="shared" si="45"/>
        <v>18426115616</v>
      </c>
      <c r="F717" s="21">
        <f t="shared" si="42"/>
        <v>9489449542241</v>
      </c>
      <c r="G717" s="21">
        <f t="shared" si="43"/>
        <v>6161752673</v>
      </c>
      <c r="H717" s="22">
        <f t="shared" si="44"/>
        <v>0.17933060511131771</v>
      </c>
      <c r="I717" s="10"/>
    </row>
    <row r="718" spans="2:9" x14ac:dyDescent="0.25">
      <c r="B718" s="10"/>
      <c r="C718" s="10"/>
      <c r="D718" s="18">
        <v>701</v>
      </c>
      <c r="E718" s="21">
        <f t="shared" si="45"/>
        <v>6161752673</v>
      </c>
      <c r="F718" s="21">
        <f t="shared" si="42"/>
        <v>3173302626596</v>
      </c>
      <c r="G718" s="21">
        <f t="shared" si="43"/>
        <v>12206696740</v>
      </c>
      <c r="H718" s="22">
        <f t="shared" si="44"/>
        <v>0.35526163235772401</v>
      </c>
      <c r="I718" s="10"/>
    </row>
    <row r="719" spans="2:9" x14ac:dyDescent="0.25">
      <c r="B719" s="10"/>
      <c r="C719" s="10"/>
      <c r="D719" s="18">
        <v>702</v>
      </c>
      <c r="E719" s="21">
        <f t="shared" si="45"/>
        <v>12206696740</v>
      </c>
      <c r="F719" s="21">
        <f t="shared" si="42"/>
        <v>6286448821101</v>
      </c>
      <c r="G719" s="21">
        <f t="shared" si="43"/>
        <v>32976438125</v>
      </c>
      <c r="H719" s="22">
        <f t="shared" si="44"/>
        <v>0.95974066425696947</v>
      </c>
      <c r="I719" s="10"/>
    </row>
    <row r="720" spans="2:9" x14ac:dyDescent="0.25">
      <c r="B720" s="10"/>
      <c r="C720" s="10"/>
      <c r="D720" s="18">
        <v>703</v>
      </c>
      <c r="E720" s="21">
        <f t="shared" si="45"/>
        <v>32976438125</v>
      </c>
      <c r="F720" s="21">
        <f t="shared" si="42"/>
        <v>16982865634376</v>
      </c>
      <c r="G720" s="21">
        <f t="shared" si="43"/>
        <v>9154880584</v>
      </c>
      <c r="H720" s="22">
        <f t="shared" si="44"/>
        <v>0.26644209236837924</v>
      </c>
      <c r="I720" s="10"/>
    </row>
    <row r="721" spans="2:9" x14ac:dyDescent="0.25">
      <c r="B721" s="10"/>
      <c r="C721" s="10"/>
      <c r="D721" s="18">
        <v>704</v>
      </c>
      <c r="E721" s="21">
        <f t="shared" si="45"/>
        <v>9154880584</v>
      </c>
      <c r="F721" s="21">
        <f t="shared" si="42"/>
        <v>4714763500761</v>
      </c>
      <c r="G721" s="21">
        <f t="shared" si="43"/>
        <v>7479344345</v>
      </c>
      <c r="H721" s="22">
        <f t="shared" si="44"/>
        <v>0.21767756974440999</v>
      </c>
      <c r="I721" s="10"/>
    </row>
    <row r="722" spans="2:9" x14ac:dyDescent="0.25">
      <c r="B722" s="10"/>
      <c r="C722" s="10"/>
      <c r="D722" s="18">
        <v>705</v>
      </c>
      <c r="E722" s="21">
        <f t="shared" si="45"/>
        <v>7479344345</v>
      </c>
      <c r="F722" s="21">
        <f t="shared" si="42"/>
        <v>3851862337676</v>
      </c>
      <c r="G722" s="21">
        <f t="shared" si="43"/>
        <v>3571640460</v>
      </c>
      <c r="H722" s="22">
        <f t="shared" si="44"/>
        <v>0.10394841840025038</v>
      </c>
      <c r="I722" s="10"/>
    </row>
    <row r="723" spans="2:9" x14ac:dyDescent="0.25">
      <c r="B723" s="10"/>
      <c r="C723" s="10"/>
      <c r="D723" s="18">
        <v>706</v>
      </c>
      <c r="E723" s="21">
        <f t="shared" si="45"/>
        <v>3571640460</v>
      </c>
      <c r="F723" s="21">
        <f t="shared" ref="F723:F786" si="46">E$7 * E723 + H$7</f>
        <v>1839394836901</v>
      </c>
      <c r="G723" s="21">
        <f t="shared" ref="G723:G786" si="47">MOD(F723,F$7)</f>
        <v>18328703397</v>
      </c>
      <c r="H723" s="22">
        <f t="shared" ref="H723:H786" si="48">G723/F$7</f>
        <v>0.53343547615804709</v>
      </c>
      <c r="I723" s="10"/>
    </row>
    <row r="724" spans="2:9" x14ac:dyDescent="0.25">
      <c r="B724" s="10"/>
      <c r="C724" s="10"/>
      <c r="D724" s="18">
        <v>707</v>
      </c>
      <c r="E724" s="21">
        <f t="shared" si="45"/>
        <v>18328703397</v>
      </c>
      <c r="F724" s="21">
        <f t="shared" si="46"/>
        <v>9439282249456</v>
      </c>
      <c r="G724" s="21">
        <f t="shared" si="47"/>
        <v>24713936624</v>
      </c>
      <c r="H724" s="22">
        <f t="shared" si="48"/>
        <v>0.71927022142335773</v>
      </c>
      <c r="I724" s="10"/>
    </row>
    <row r="725" spans="2:9" x14ac:dyDescent="0.25">
      <c r="B725" s="10"/>
      <c r="C725" s="10"/>
      <c r="D725" s="18">
        <v>708</v>
      </c>
      <c r="E725" s="21">
        <f t="shared" si="45"/>
        <v>24713936624</v>
      </c>
      <c r="F725" s="21">
        <f t="shared" si="46"/>
        <v>12727677361361</v>
      </c>
      <c r="G725" s="21">
        <f t="shared" si="47"/>
        <v>14574165201</v>
      </c>
      <c r="H725" s="22">
        <f t="shared" si="48"/>
        <v>0.42416403305833228</v>
      </c>
      <c r="I725" s="10"/>
    </row>
    <row r="726" spans="2:9" x14ac:dyDescent="0.25">
      <c r="B726" s="10"/>
      <c r="C726" s="10"/>
      <c r="D726" s="18">
        <v>709</v>
      </c>
      <c r="E726" s="21">
        <f t="shared" si="45"/>
        <v>14574165201</v>
      </c>
      <c r="F726" s="21">
        <f t="shared" si="46"/>
        <v>7505695078516</v>
      </c>
      <c r="G726" s="21">
        <f t="shared" si="47"/>
        <v>15272114292</v>
      </c>
      <c r="H726" s="22">
        <f t="shared" si="48"/>
        <v>0.44447702507022768</v>
      </c>
      <c r="I726" s="10"/>
    </row>
    <row r="727" spans="2:9" x14ac:dyDescent="0.25">
      <c r="B727" s="10"/>
      <c r="C727" s="10"/>
      <c r="D727" s="18">
        <v>710</v>
      </c>
      <c r="E727" s="21">
        <f t="shared" si="45"/>
        <v>15272114292</v>
      </c>
      <c r="F727" s="21">
        <f t="shared" si="46"/>
        <v>7865138860381</v>
      </c>
      <c r="G727" s="21">
        <f t="shared" si="47"/>
        <v>31118512477</v>
      </c>
      <c r="H727" s="22">
        <f t="shared" si="48"/>
        <v>0.90566791119636036</v>
      </c>
      <c r="I727" s="10"/>
    </row>
    <row r="728" spans="2:9" x14ac:dyDescent="0.25">
      <c r="B728" s="10"/>
      <c r="C728" s="10"/>
      <c r="D728" s="18">
        <v>711</v>
      </c>
      <c r="E728" s="21">
        <f t="shared" si="45"/>
        <v>31118512477</v>
      </c>
      <c r="F728" s="21">
        <f t="shared" si="46"/>
        <v>16026033925656</v>
      </c>
      <c r="G728" s="21">
        <f t="shared" si="47"/>
        <v>14395846168</v>
      </c>
      <c r="H728" s="22">
        <f t="shared" si="48"/>
        <v>0.41897426615469158</v>
      </c>
      <c r="I728" s="10"/>
    </row>
    <row r="729" spans="2:9" x14ac:dyDescent="0.25">
      <c r="B729" s="10"/>
      <c r="C729" s="10"/>
      <c r="D729" s="18">
        <v>712</v>
      </c>
      <c r="E729" s="21">
        <f t="shared" si="45"/>
        <v>14395846168</v>
      </c>
      <c r="F729" s="21">
        <f t="shared" si="46"/>
        <v>7413860776521</v>
      </c>
      <c r="G729" s="21">
        <f t="shared" si="47"/>
        <v>26517027401</v>
      </c>
      <c r="H729" s="22">
        <f t="shared" si="48"/>
        <v>0.77174706969526596</v>
      </c>
      <c r="I729" s="10"/>
    </row>
    <row r="730" spans="2:9" x14ac:dyDescent="0.25">
      <c r="B730" s="10"/>
      <c r="C730" s="10"/>
      <c r="D730" s="18">
        <v>713</v>
      </c>
      <c r="E730" s="21">
        <f t="shared" si="45"/>
        <v>26517027401</v>
      </c>
      <c r="F730" s="21">
        <f t="shared" si="46"/>
        <v>13656269111516</v>
      </c>
      <c r="G730" s="21">
        <f t="shared" si="47"/>
        <v>15452979420</v>
      </c>
      <c r="H730" s="22">
        <f t="shared" si="48"/>
        <v>0.44974089309107512</v>
      </c>
      <c r="I730" s="10"/>
    </row>
    <row r="731" spans="2:9" x14ac:dyDescent="0.25">
      <c r="B731" s="10"/>
      <c r="C731" s="10"/>
      <c r="D731" s="18">
        <v>714</v>
      </c>
      <c r="E731" s="21">
        <f t="shared" si="45"/>
        <v>15452979420</v>
      </c>
      <c r="F731" s="21">
        <f t="shared" si="46"/>
        <v>7958284401301</v>
      </c>
      <c r="G731" s="21">
        <f t="shared" si="47"/>
        <v>21184838293</v>
      </c>
      <c r="H731" s="22">
        <f t="shared" si="48"/>
        <v>0.61655994193279184</v>
      </c>
      <c r="I731" s="10"/>
    </row>
    <row r="732" spans="2:9" x14ac:dyDescent="0.25">
      <c r="B732" s="10"/>
      <c r="C732" s="10"/>
      <c r="D732" s="18">
        <v>715</v>
      </c>
      <c r="E732" s="21">
        <f t="shared" si="45"/>
        <v>21184838293</v>
      </c>
      <c r="F732" s="21">
        <f t="shared" si="46"/>
        <v>10910191720896</v>
      </c>
      <c r="G732" s="21">
        <f t="shared" si="47"/>
        <v>18154658240</v>
      </c>
      <c r="H732" s="22">
        <f t="shared" si="48"/>
        <v>0.5283700954169035</v>
      </c>
      <c r="I732" s="10"/>
    </row>
    <row r="733" spans="2:9" x14ac:dyDescent="0.25">
      <c r="B733" s="10"/>
      <c r="C733" s="10"/>
      <c r="D733" s="18">
        <v>716</v>
      </c>
      <c r="E733" s="21">
        <f t="shared" si="45"/>
        <v>18154658240</v>
      </c>
      <c r="F733" s="21">
        <f t="shared" si="46"/>
        <v>9349648993601</v>
      </c>
      <c r="G733" s="21">
        <f t="shared" si="47"/>
        <v>3800157505</v>
      </c>
      <c r="H733" s="22">
        <f t="shared" si="48"/>
        <v>0.11059913973440416</v>
      </c>
      <c r="I733" s="10"/>
    </row>
    <row r="734" spans="2:9" x14ac:dyDescent="0.25">
      <c r="B734" s="10"/>
      <c r="C734" s="10"/>
      <c r="D734" s="18">
        <v>717</v>
      </c>
      <c r="E734" s="21">
        <f t="shared" si="45"/>
        <v>3800157505</v>
      </c>
      <c r="F734" s="21">
        <f t="shared" si="46"/>
        <v>1957081115076</v>
      </c>
      <c r="G734" s="21">
        <f t="shared" si="47"/>
        <v>32935766468</v>
      </c>
      <c r="H734" s="22">
        <f t="shared" si="48"/>
        <v>0.95855696324724704</v>
      </c>
      <c r="I734" s="10"/>
    </row>
    <row r="735" spans="2:9" x14ac:dyDescent="0.25">
      <c r="B735" s="10"/>
      <c r="C735" s="10"/>
      <c r="D735" s="18">
        <v>718</v>
      </c>
      <c r="E735" s="21">
        <f t="shared" si="45"/>
        <v>32935766468</v>
      </c>
      <c r="F735" s="21">
        <f t="shared" si="46"/>
        <v>16961919731021</v>
      </c>
      <c r="G735" s="21">
        <f t="shared" si="47"/>
        <v>22568715597</v>
      </c>
      <c r="H735" s="22">
        <f t="shared" si="48"/>
        <v>0.65683607236132957</v>
      </c>
      <c r="I735" s="10"/>
    </row>
    <row r="736" spans="2:9" x14ac:dyDescent="0.25">
      <c r="B736" s="10"/>
      <c r="C736" s="10"/>
      <c r="D736" s="18">
        <v>719</v>
      </c>
      <c r="E736" s="21">
        <f t="shared" si="45"/>
        <v>22568715597</v>
      </c>
      <c r="F736" s="21">
        <f t="shared" si="46"/>
        <v>11622888532456</v>
      </c>
      <c r="G736" s="21">
        <f t="shared" si="47"/>
        <v>9296964072</v>
      </c>
      <c r="H736" s="22">
        <f t="shared" si="48"/>
        <v>0.27057726611383259</v>
      </c>
      <c r="I736" s="10"/>
    </row>
    <row r="737" spans="2:9" x14ac:dyDescent="0.25">
      <c r="B737" s="10"/>
      <c r="C737" s="10"/>
      <c r="D737" s="18">
        <v>720</v>
      </c>
      <c r="E737" s="21">
        <f t="shared" si="45"/>
        <v>9296964072</v>
      </c>
      <c r="F737" s="21">
        <f t="shared" si="46"/>
        <v>4787936497081</v>
      </c>
      <c r="G737" s="21">
        <f t="shared" si="47"/>
        <v>11932863929</v>
      </c>
      <c r="H737" s="22">
        <f t="shared" si="48"/>
        <v>0.34729204865288921</v>
      </c>
      <c r="I737" s="10"/>
    </row>
    <row r="738" spans="2:9" x14ac:dyDescent="0.25">
      <c r="B738" s="10"/>
      <c r="C738" s="10"/>
      <c r="D738" s="18">
        <v>721</v>
      </c>
      <c r="E738" s="21">
        <f t="shared" si="45"/>
        <v>11932863929</v>
      </c>
      <c r="F738" s="21">
        <f t="shared" si="46"/>
        <v>6145424923436</v>
      </c>
      <c r="G738" s="21">
        <f t="shared" si="47"/>
        <v>29391493932</v>
      </c>
      <c r="H738" s="22">
        <f t="shared" si="48"/>
        <v>0.85540505626704544</v>
      </c>
      <c r="I738" s="10"/>
    </row>
    <row r="739" spans="2:9" x14ac:dyDescent="0.25">
      <c r="B739" s="10"/>
      <c r="C739" s="10"/>
      <c r="D739" s="18">
        <v>722</v>
      </c>
      <c r="E739" s="21">
        <f t="shared" si="45"/>
        <v>29391493932</v>
      </c>
      <c r="F739" s="21">
        <f t="shared" si="46"/>
        <v>15136619374981</v>
      </c>
      <c r="G739" s="21">
        <f t="shared" si="47"/>
        <v>18334493061</v>
      </c>
      <c r="H739" s="22">
        <f t="shared" si="48"/>
        <v>0.53360397755750455</v>
      </c>
      <c r="I739" s="10"/>
    </row>
    <row r="740" spans="2:9" x14ac:dyDescent="0.25">
      <c r="B740" s="10"/>
      <c r="C740" s="10"/>
      <c r="D740" s="18">
        <v>723</v>
      </c>
      <c r="E740" s="21">
        <f t="shared" si="45"/>
        <v>18334493061</v>
      </c>
      <c r="F740" s="21">
        <f t="shared" si="46"/>
        <v>9442263926416</v>
      </c>
      <c r="G740" s="21">
        <f t="shared" si="47"/>
        <v>27695613584</v>
      </c>
      <c r="H740" s="22">
        <f t="shared" si="48"/>
        <v>0.80604844214394689</v>
      </c>
      <c r="I740" s="10"/>
    </row>
    <row r="741" spans="2:9" x14ac:dyDescent="0.25">
      <c r="B741" s="10"/>
      <c r="C741" s="10"/>
      <c r="D741" s="18">
        <v>724</v>
      </c>
      <c r="E741" s="21">
        <f t="shared" si="45"/>
        <v>27695613584</v>
      </c>
      <c r="F741" s="21">
        <f t="shared" si="46"/>
        <v>14263240995761</v>
      </c>
      <c r="G741" s="21">
        <f t="shared" si="47"/>
        <v>3949573041</v>
      </c>
      <c r="H741" s="22">
        <f t="shared" si="48"/>
        <v>0.11494770416175015</v>
      </c>
      <c r="I741" s="10"/>
    </row>
    <row r="742" spans="2:9" x14ac:dyDescent="0.25">
      <c r="B742" s="10"/>
      <c r="C742" s="10"/>
      <c r="D742" s="18">
        <v>725</v>
      </c>
      <c r="E742" s="21">
        <f t="shared" si="45"/>
        <v>3949573041</v>
      </c>
      <c r="F742" s="21">
        <f t="shared" si="46"/>
        <v>2034030116116</v>
      </c>
      <c r="G742" s="21">
        <f t="shared" si="47"/>
        <v>6805552404</v>
      </c>
      <c r="H742" s="22">
        <f t="shared" si="48"/>
        <v>0.19806764333043247</v>
      </c>
      <c r="I742" s="10"/>
    </row>
    <row r="743" spans="2:9" x14ac:dyDescent="0.25">
      <c r="B743" s="10"/>
      <c r="C743" s="10"/>
      <c r="D743" s="18">
        <v>726</v>
      </c>
      <c r="E743" s="21">
        <f t="shared" si="45"/>
        <v>6805552404</v>
      </c>
      <c r="F743" s="21">
        <f t="shared" si="46"/>
        <v>3504859488061</v>
      </c>
      <c r="G743" s="21">
        <f t="shared" si="47"/>
        <v>166174525</v>
      </c>
      <c r="H743" s="22">
        <f t="shared" si="48"/>
        <v>4.8363152018282562E-3</v>
      </c>
      <c r="I743" s="10"/>
    </row>
    <row r="744" spans="2:9" x14ac:dyDescent="0.25">
      <c r="B744" s="10"/>
      <c r="C744" s="10"/>
      <c r="D744" s="18">
        <v>727</v>
      </c>
      <c r="E744" s="21">
        <f t="shared" si="45"/>
        <v>166174525</v>
      </c>
      <c r="F744" s="21">
        <f t="shared" si="46"/>
        <v>85579880376</v>
      </c>
      <c r="G744" s="21">
        <f t="shared" si="47"/>
        <v>16860403640</v>
      </c>
      <c r="H744" s="22">
        <f t="shared" si="48"/>
        <v>0.4907023289706558</v>
      </c>
      <c r="I744" s="10"/>
    </row>
    <row r="745" spans="2:9" x14ac:dyDescent="0.25">
      <c r="B745" s="10"/>
      <c r="C745" s="10"/>
      <c r="D745" s="18">
        <v>728</v>
      </c>
      <c r="E745" s="21">
        <f t="shared" si="45"/>
        <v>16860403640</v>
      </c>
      <c r="F745" s="21">
        <f t="shared" si="46"/>
        <v>8683107874601</v>
      </c>
      <c r="G745" s="21">
        <f t="shared" si="47"/>
        <v>24453805865</v>
      </c>
      <c r="H745" s="22">
        <f t="shared" si="48"/>
        <v>0.71169941991684027</v>
      </c>
      <c r="I745" s="10"/>
    </row>
    <row r="746" spans="2:9" x14ac:dyDescent="0.25">
      <c r="B746" s="10"/>
      <c r="C746" s="10"/>
      <c r="D746" s="18">
        <v>729</v>
      </c>
      <c r="E746" s="21">
        <f t="shared" si="45"/>
        <v>24453805865</v>
      </c>
      <c r="F746" s="21">
        <f t="shared" si="46"/>
        <v>12593710020476</v>
      </c>
      <c r="G746" s="21">
        <f t="shared" si="47"/>
        <v>18045777788</v>
      </c>
      <c r="H746" s="22">
        <f t="shared" si="48"/>
        <v>0.52520125720184296</v>
      </c>
      <c r="I746" s="10"/>
    </row>
    <row r="747" spans="2:9" x14ac:dyDescent="0.25">
      <c r="B747" s="10"/>
      <c r="C747" s="10"/>
      <c r="D747" s="18">
        <v>730</v>
      </c>
      <c r="E747" s="21">
        <f t="shared" si="45"/>
        <v>18045777788</v>
      </c>
      <c r="F747" s="21">
        <f t="shared" si="46"/>
        <v>9293575560821</v>
      </c>
      <c r="G747" s="21">
        <f t="shared" si="47"/>
        <v>16446201461</v>
      </c>
      <c r="H747" s="22">
        <f t="shared" si="48"/>
        <v>0.47864745897823013</v>
      </c>
      <c r="I747" s="10"/>
    </row>
    <row r="748" spans="2:9" x14ac:dyDescent="0.25">
      <c r="B748" s="10"/>
      <c r="C748" s="10"/>
      <c r="D748" s="18">
        <v>731</v>
      </c>
      <c r="E748" s="21">
        <f t="shared" si="45"/>
        <v>16446201461</v>
      </c>
      <c r="F748" s="21">
        <f t="shared" si="46"/>
        <v>8469793752416</v>
      </c>
      <c r="G748" s="21">
        <f t="shared" si="47"/>
        <v>17298113888</v>
      </c>
      <c r="H748" s="22">
        <f t="shared" si="48"/>
        <v>0.50344137381762266</v>
      </c>
      <c r="I748" s="10"/>
    </row>
    <row r="749" spans="2:9" x14ac:dyDescent="0.25">
      <c r="B749" s="10"/>
      <c r="C749" s="10"/>
      <c r="D749" s="18">
        <v>732</v>
      </c>
      <c r="E749" s="21">
        <f t="shared" si="45"/>
        <v>17298113888</v>
      </c>
      <c r="F749" s="21">
        <f t="shared" si="46"/>
        <v>8908528652321</v>
      </c>
      <c r="G749" s="21">
        <f t="shared" si="47"/>
        <v>9356415009</v>
      </c>
      <c r="H749" s="22">
        <f t="shared" si="48"/>
        <v>0.27230751610477455</v>
      </c>
      <c r="I749" s="10"/>
    </row>
    <row r="750" spans="2:9" x14ac:dyDescent="0.25">
      <c r="B750" s="10"/>
      <c r="C750" s="10"/>
      <c r="D750" s="18">
        <v>733</v>
      </c>
      <c r="E750" s="21">
        <f t="shared" si="45"/>
        <v>9356415009</v>
      </c>
      <c r="F750" s="21">
        <f t="shared" si="46"/>
        <v>4818553729636</v>
      </c>
      <c r="G750" s="21">
        <f t="shared" si="47"/>
        <v>8190358116</v>
      </c>
      <c r="H750" s="22">
        <f t="shared" si="48"/>
        <v>0.23837079398799688</v>
      </c>
      <c r="I750" s="10"/>
    </row>
    <row r="751" spans="2:9" x14ac:dyDescent="0.25">
      <c r="B751" s="10"/>
      <c r="C751" s="10"/>
      <c r="D751" s="18">
        <v>734</v>
      </c>
      <c r="E751" s="21">
        <f t="shared" si="45"/>
        <v>8190358116</v>
      </c>
      <c r="F751" s="21">
        <f t="shared" si="46"/>
        <v>4218034429741</v>
      </c>
      <c r="G751" s="21">
        <f t="shared" si="47"/>
        <v>26146348845</v>
      </c>
      <c r="H751" s="22">
        <f t="shared" si="48"/>
        <v>0.76095890384749509</v>
      </c>
      <c r="I751" s="10"/>
    </row>
    <row r="752" spans="2:9" x14ac:dyDescent="0.25">
      <c r="B752" s="10"/>
      <c r="C752" s="10"/>
      <c r="D752" s="18">
        <v>735</v>
      </c>
      <c r="E752" s="21">
        <f t="shared" si="45"/>
        <v>26146348845</v>
      </c>
      <c r="F752" s="21">
        <f t="shared" si="46"/>
        <v>13465369655176</v>
      </c>
      <c r="G752" s="21">
        <f t="shared" si="47"/>
        <v>30711953288</v>
      </c>
      <c r="H752" s="22">
        <f t="shared" si="48"/>
        <v>0.89383548148907721</v>
      </c>
      <c r="I752" s="10"/>
    </row>
    <row r="753" spans="2:9" x14ac:dyDescent="0.25">
      <c r="B753" s="10"/>
      <c r="C753" s="10"/>
      <c r="D753" s="18">
        <v>736</v>
      </c>
      <c r="E753" s="21">
        <f t="shared" si="45"/>
        <v>30711953288</v>
      </c>
      <c r="F753" s="21">
        <f t="shared" si="46"/>
        <v>15816655943321</v>
      </c>
      <c r="G753" s="21">
        <f t="shared" si="47"/>
        <v>11176294041</v>
      </c>
      <c r="H753" s="22">
        <f t="shared" si="48"/>
        <v>0.3252729669038672</v>
      </c>
      <c r="I753" s="10"/>
    </row>
    <row r="754" spans="2:9" x14ac:dyDescent="0.25">
      <c r="B754" s="10"/>
      <c r="C754" s="10"/>
      <c r="D754" s="18">
        <v>737</v>
      </c>
      <c r="E754" s="21">
        <f t="shared" si="45"/>
        <v>11176294041</v>
      </c>
      <c r="F754" s="21">
        <f t="shared" si="46"/>
        <v>5755791431116</v>
      </c>
      <c r="G754" s="21">
        <f t="shared" si="47"/>
        <v>17715123660</v>
      </c>
      <c r="H754" s="22">
        <f t="shared" si="48"/>
        <v>0.51557795552071184</v>
      </c>
      <c r="I754" s="10"/>
    </row>
    <row r="755" spans="2:9" x14ac:dyDescent="0.25">
      <c r="B755" s="10"/>
      <c r="C755" s="10"/>
      <c r="D755" s="18">
        <v>738</v>
      </c>
      <c r="E755" s="21">
        <f t="shared" si="45"/>
        <v>17715123660</v>
      </c>
      <c r="F755" s="21">
        <f t="shared" si="46"/>
        <v>9123288684901</v>
      </c>
      <c r="G755" s="21">
        <f t="shared" si="47"/>
        <v>17958017381</v>
      </c>
      <c r="H755" s="22">
        <f t="shared" si="48"/>
        <v>0.52264709319570102</v>
      </c>
      <c r="I755" s="10"/>
    </row>
    <row r="756" spans="2:9" x14ac:dyDescent="0.25">
      <c r="B756" s="10"/>
      <c r="C756" s="10"/>
      <c r="D756" s="18">
        <v>739</v>
      </c>
      <c r="E756" s="21">
        <f t="shared" si="45"/>
        <v>17958017381</v>
      </c>
      <c r="F756" s="21">
        <f t="shared" si="46"/>
        <v>9248378951216</v>
      </c>
      <c r="G756" s="21">
        <f t="shared" si="47"/>
        <v>5609330224</v>
      </c>
      <c r="H756" s="22">
        <f t="shared" si="48"/>
        <v>0.16325299581512809</v>
      </c>
      <c r="I756" s="10"/>
    </row>
    <row r="757" spans="2:9" x14ac:dyDescent="0.25">
      <c r="B757" s="10"/>
      <c r="C757" s="10"/>
      <c r="D757" s="18">
        <v>740</v>
      </c>
      <c r="E757" s="21">
        <f t="shared" si="45"/>
        <v>5609330224</v>
      </c>
      <c r="F757" s="21">
        <f t="shared" si="46"/>
        <v>2888805065361</v>
      </c>
      <c r="G757" s="21">
        <f t="shared" si="47"/>
        <v>2587042449</v>
      </c>
      <c r="H757" s="22">
        <f t="shared" si="48"/>
        <v>7.5292844820069149E-2</v>
      </c>
      <c r="I757" s="10"/>
    </row>
    <row r="758" spans="2:9" x14ac:dyDescent="0.25">
      <c r="B758" s="10"/>
      <c r="C758" s="10"/>
      <c r="D758" s="18">
        <v>741</v>
      </c>
      <c r="E758" s="21">
        <f t="shared" ref="E758:E821" si="49">G757</f>
        <v>2587042449</v>
      </c>
      <c r="F758" s="21">
        <f t="shared" si="46"/>
        <v>1332326861236</v>
      </c>
      <c r="G758" s="21">
        <f t="shared" si="47"/>
        <v>26656803252</v>
      </c>
      <c r="H758" s="22">
        <f t="shared" si="48"/>
        <v>0.77581508236471564</v>
      </c>
      <c r="I758" s="10"/>
    </row>
    <row r="759" spans="2:9" x14ac:dyDescent="0.25">
      <c r="B759" s="10"/>
      <c r="C759" s="10"/>
      <c r="D759" s="18">
        <v>742</v>
      </c>
      <c r="E759" s="21">
        <f t="shared" si="49"/>
        <v>26656803252</v>
      </c>
      <c r="F759" s="21">
        <f t="shared" si="46"/>
        <v>13728253674781</v>
      </c>
      <c r="G759" s="21">
        <f t="shared" si="47"/>
        <v>18718065949</v>
      </c>
      <c r="H759" s="22">
        <f t="shared" si="48"/>
        <v>0.54476741785765626</v>
      </c>
      <c r="I759" s="10"/>
    </row>
    <row r="760" spans="2:9" x14ac:dyDescent="0.25">
      <c r="B760" s="10"/>
      <c r="C760" s="10"/>
      <c r="D760" s="18">
        <v>743</v>
      </c>
      <c r="E760" s="21">
        <f t="shared" si="49"/>
        <v>18718065949</v>
      </c>
      <c r="F760" s="21">
        <f t="shared" si="46"/>
        <v>9639803963736</v>
      </c>
      <c r="G760" s="21">
        <f t="shared" si="47"/>
        <v>19077220696</v>
      </c>
      <c r="H760" s="22">
        <f t="shared" si="48"/>
        <v>0.55522019672207534</v>
      </c>
      <c r="I760" s="10"/>
    </row>
    <row r="761" spans="2:9" x14ac:dyDescent="0.25">
      <c r="B761" s="10"/>
      <c r="C761" s="10"/>
      <c r="D761" s="18">
        <v>744</v>
      </c>
      <c r="E761" s="21">
        <f t="shared" si="49"/>
        <v>19077220696</v>
      </c>
      <c r="F761" s="21">
        <f t="shared" si="46"/>
        <v>9824768658441</v>
      </c>
      <c r="G761" s="21">
        <f t="shared" si="47"/>
        <v>32243223561</v>
      </c>
      <c r="H761" s="22">
        <f t="shared" si="48"/>
        <v>0.93840131189790554</v>
      </c>
      <c r="I761" s="10"/>
    </row>
    <row r="762" spans="2:9" x14ac:dyDescent="0.25">
      <c r="B762" s="10"/>
      <c r="C762" s="10"/>
      <c r="D762" s="18">
        <v>745</v>
      </c>
      <c r="E762" s="21">
        <f t="shared" si="49"/>
        <v>32243223561</v>
      </c>
      <c r="F762" s="21">
        <f t="shared" si="46"/>
        <v>16605260133916</v>
      </c>
      <c r="G762" s="21">
        <f t="shared" si="47"/>
        <v>9506502172</v>
      </c>
      <c r="H762" s="22">
        <f t="shared" si="48"/>
        <v>0.27667562745045871</v>
      </c>
      <c r="I762" s="10"/>
    </row>
    <row r="763" spans="2:9" x14ac:dyDescent="0.25">
      <c r="B763" s="10"/>
      <c r="C763" s="10"/>
      <c r="D763" s="18">
        <v>746</v>
      </c>
      <c r="E763" s="21">
        <f t="shared" si="49"/>
        <v>9506502172</v>
      </c>
      <c r="F763" s="21">
        <f t="shared" si="46"/>
        <v>4895848618581</v>
      </c>
      <c r="G763" s="21">
        <f t="shared" si="47"/>
        <v>16765770325</v>
      </c>
      <c r="H763" s="22">
        <f t="shared" si="48"/>
        <v>0.48794813701533712</v>
      </c>
      <c r="I763" s="10"/>
    </row>
    <row r="764" spans="2:9" x14ac:dyDescent="0.25">
      <c r="B764" s="10"/>
      <c r="C764" s="10"/>
      <c r="D764" s="18">
        <v>747</v>
      </c>
      <c r="E764" s="21">
        <f t="shared" si="49"/>
        <v>16765770325</v>
      </c>
      <c r="F764" s="21">
        <f t="shared" si="46"/>
        <v>8634371717376</v>
      </c>
      <c r="G764" s="21">
        <f t="shared" si="47"/>
        <v>10077387008</v>
      </c>
      <c r="H764" s="22">
        <f t="shared" si="48"/>
        <v>0.29329056292772293</v>
      </c>
      <c r="I764" s="10"/>
    </row>
    <row r="765" spans="2:9" x14ac:dyDescent="0.25">
      <c r="B765" s="10"/>
      <c r="C765" s="10"/>
      <c r="D765" s="18">
        <v>748</v>
      </c>
      <c r="E765" s="21">
        <f t="shared" si="49"/>
        <v>10077387008</v>
      </c>
      <c r="F765" s="21">
        <f t="shared" si="46"/>
        <v>5189854309121</v>
      </c>
      <c r="G765" s="21">
        <f t="shared" si="47"/>
        <v>1533815553</v>
      </c>
      <c r="H765" s="22">
        <f t="shared" si="48"/>
        <v>4.4639907806413248E-2</v>
      </c>
      <c r="I765" s="10"/>
    </row>
    <row r="766" spans="2:9" x14ac:dyDescent="0.25">
      <c r="B766" s="10"/>
      <c r="C766" s="10"/>
      <c r="D766" s="18">
        <v>749</v>
      </c>
      <c r="E766" s="21">
        <f t="shared" si="49"/>
        <v>1533815553</v>
      </c>
      <c r="F766" s="21">
        <f t="shared" si="46"/>
        <v>789915009796</v>
      </c>
      <c r="G766" s="21">
        <f t="shared" si="47"/>
        <v>34000765700</v>
      </c>
      <c r="H766" s="22">
        <f t="shared" si="48"/>
        <v>0.98955252033192664</v>
      </c>
      <c r="I766" s="10"/>
    </row>
    <row r="767" spans="2:9" x14ac:dyDescent="0.25">
      <c r="B767" s="10"/>
      <c r="C767" s="10"/>
      <c r="D767" s="18">
        <v>750</v>
      </c>
      <c r="E767" s="21">
        <f t="shared" si="49"/>
        <v>34000765700</v>
      </c>
      <c r="F767" s="21">
        <f t="shared" si="46"/>
        <v>17510394335501</v>
      </c>
      <c r="G767" s="21">
        <f t="shared" si="47"/>
        <v>21287506189</v>
      </c>
      <c r="H767" s="22">
        <f t="shared" si="48"/>
        <v>0.61954797097132541</v>
      </c>
      <c r="I767" s="10"/>
    </row>
    <row r="768" spans="2:9" x14ac:dyDescent="0.25">
      <c r="B768" s="10"/>
      <c r="C768" s="10"/>
      <c r="D768" s="18">
        <v>751</v>
      </c>
      <c r="E768" s="21">
        <f t="shared" si="49"/>
        <v>21287506189</v>
      </c>
      <c r="F768" s="21">
        <f t="shared" si="46"/>
        <v>10963065687336</v>
      </c>
      <c r="G768" s="21">
        <f t="shared" si="47"/>
        <v>2309147944</v>
      </c>
      <c r="H768" s="22">
        <f t="shared" si="48"/>
        <v>6.7205050261691213E-2</v>
      </c>
      <c r="I768" s="10"/>
    </row>
    <row r="769" spans="2:9" x14ac:dyDescent="0.25">
      <c r="B769" s="10"/>
      <c r="C769" s="10"/>
      <c r="D769" s="18">
        <v>752</v>
      </c>
      <c r="E769" s="21">
        <f t="shared" si="49"/>
        <v>2309147944</v>
      </c>
      <c r="F769" s="21">
        <f t="shared" si="46"/>
        <v>1189211191161</v>
      </c>
      <c r="G769" s="21">
        <f t="shared" si="47"/>
        <v>20980086649</v>
      </c>
      <c r="H769" s="22">
        <f t="shared" si="48"/>
        <v>0.61060088480007835</v>
      </c>
      <c r="I769" s="10"/>
    </row>
    <row r="770" spans="2:9" x14ac:dyDescent="0.25">
      <c r="B770" s="10"/>
      <c r="C770" s="10"/>
      <c r="D770" s="18">
        <v>753</v>
      </c>
      <c r="E770" s="21">
        <f t="shared" si="49"/>
        <v>20980086649</v>
      </c>
      <c r="F770" s="21">
        <f t="shared" si="46"/>
        <v>10804744624236</v>
      </c>
      <c r="G770" s="21">
        <f t="shared" si="47"/>
        <v>15786776684</v>
      </c>
      <c r="H770" s="22">
        <f t="shared" si="48"/>
        <v>0.4594556720694527</v>
      </c>
      <c r="I770" s="10"/>
    </row>
    <row r="771" spans="2:9" x14ac:dyDescent="0.25">
      <c r="B771" s="10"/>
      <c r="C771" s="10"/>
      <c r="D771" s="18">
        <v>754</v>
      </c>
      <c r="E771" s="21">
        <f t="shared" si="49"/>
        <v>15786776684</v>
      </c>
      <c r="F771" s="21">
        <f t="shared" si="46"/>
        <v>8130189992261</v>
      </c>
      <c r="G771" s="21">
        <f t="shared" si="47"/>
        <v>21291737413</v>
      </c>
      <c r="H771" s="22">
        <f t="shared" si="48"/>
        <v>0.61967111579724588</v>
      </c>
      <c r="I771" s="10"/>
    </row>
    <row r="772" spans="2:9" x14ac:dyDescent="0.25">
      <c r="B772" s="10"/>
      <c r="C772" s="10"/>
      <c r="D772" s="18">
        <v>755</v>
      </c>
      <c r="E772" s="21">
        <f t="shared" si="49"/>
        <v>21291737413</v>
      </c>
      <c r="F772" s="21">
        <f t="shared" si="46"/>
        <v>10965244767696</v>
      </c>
      <c r="G772" s="21">
        <f t="shared" si="47"/>
        <v>4488228304</v>
      </c>
      <c r="H772" s="22">
        <f t="shared" si="48"/>
        <v>0.13062463561072946</v>
      </c>
      <c r="I772" s="10"/>
    </row>
    <row r="773" spans="2:9" x14ac:dyDescent="0.25">
      <c r="B773" s="10"/>
      <c r="C773" s="10"/>
      <c r="D773" s="18">
        <v>756</v>
      </c>
      <c r="E773" s="21">
        <f t="shared" si="49"/>
        <v>4488228304</v>
      </c>
      <c r="F773" s="21">
        <f t="shared" si="46"/>
        <v>2311437576561</v>
      </c>
      <c r="G773" s="21">
        <f t="shared" si="47"/>
        <v>9335105905</v>
      </c>
      <c r="H773" s="22">
        <f t="shared" si="48"/>
        <v>0.27168733955477364</v>
      </c>
      <c r="I773" s="10"/>
    </row>
    <row r="774" spans="2:9" x14ac:dyDescent="0.25">
      <c r="B774" s="10"/>
      <c r="C774" s="10"/>
      <c r="D774" s="18">
        <v>757</v>
      </c>
      <c r="E774" s="21">
        <f t="shared" si="49"/>
        <v>9335105905</v>
      </c>
      <c r="F774" s="21">
        <f t="shared" si="46"/>
        <v>4807579541076</v>
      </c>
      <c r="G774" s="21">
        <f t="shared" si="47"/>
        <v>31575907924</v>
      </c>
      <c r="H774" s="22">
        <f t="shared" si="48"/>
        <v>0.91897987073753029</v>
      </c>
      <c r="I774" s="10"/>
    </row>
    <row r="775" spans="2:9" x14ac:dyDescent="0.25">
      <c r="B775" s="10"/>
      <c r="C775" s="10"/>
      <c r="D775" s="18">
        <v>758</v>
      </c>
      <c r="E775" s="21">
        <f t="shared" si="49"/>
        <v>31575907924</v>
      </c>
      <c r="F775" s="21">
        <f t="shared" si="46"/>
        <v>16261592580861</v>
      </c>
      <c r="G775" s="21">
        <f t="shared" si="47"/>
        <v>9436332797</v>
      </c>
      <c r="H775" s="22">
        <f t="shared" si="48"/>
        <v>0.27463342985720374</v>
      </c>
      <c r="I775" s="10"/>
    </row>
    <row r="776" spans="2:9" x14ac:dyDescent="0.25">
      <c r="B776" s="10"/>
      <c r="C776" s="10"/>
      <c r="D776" s="18">
        <v>759</v>
      </c>
      <c r="E776" s="21">
        <f t="shared" si="49"/>
        <v>9436332797</v>
      </c>
      <c r="F776" s="21">
        <f t="shared" si="46"/>
        <v>4859711390456</v>
      </c>
      <c r="G776" s="21">
        <f t="shared" si="47"/>
        <v>14988280568</v>
      </c>
      <c r="H776" s="22">
        <f t="shared" si="48"/>
        <v>0.43621637648902833</v>
      </c>
      <c r="I776" s="10"/>
    </row>
    <row r="777" spans="2:9" x14ac:dyDescent="0.25">
      <c r="B777" s="10"/>
      <c r="C777" s="10"/>
      <c r="D777" s="18">
        <v>760</v>
      </c>
      <c r="E777" s="21">
        <f t="shared" si="49"/>
        <v>14988280568</v>
      </c>
      <c r="F777" s="21">
        <f t="shared" si="46"/>
        <v>7718964492521</v>
      </c>
      <c r="G777" s="21">
        <f t="shared" si="47"/>
        <v>22383098089</v>
      </c>
      <c r="H777" s="22">
        <f t="shared" si="48"/>
        <v>0.65143389187869616</v>
      </c>
      <c r="I777" s="10"/>
    </row>
    <row r="778" spans="2:9" x14ac:dyDescent="0.25">
      <c r="B778" s="10"/>
      <c r="C778" s="10"/>
      <c r="D778" s="18">
        <v>761</v>
      </c>
      <c r="E778" s="21">
        <f t="shared" si="49"/>
        <v>22383098089</v>
      </c>
      <c r="F778" s="21">
        <f t="shared" si="46"/>
        <v>11527295515836</v>
      </c>
      <c r="G778" s="21">
        <f t="shared" si="47"/>
        <v>16783162556</v>
      </c>
      <c r="H778" s="22">
        <f t="shared" si="48"/>
        <v>0.48845431755762547</v>
      </c>
      <c r="I778" s="10"/>
    </row>
    <row r="779" spans="2:9" x14ac:dyDescent="0.25">
      <c r="B779" s="10"/>
      <c r="C779" s="10"/>
      <c r="D779" s="18">
        <v>762</v>
      </c>
      <c r="E779" s="21">
        <f t="shared" si="49"/>
        <v>16783162556</v>
      </c>
      <c r="F779" s="21">
        <f t="shared" si="46"/>
        <v>8643328716341</v>
      </c>
      <c r="G779" s="21">
        <f t="shared" si="47"/>
        <v>19034385973</v>
      </c>
      <c r="H779" s="22">
        <f t="shared" si="48"/>
        <v>0.55397354220622219</v>
      </c>
      <c r="I779" s="10"/>
    </row>
    <row r="780" spans="2:9" x14ac:dyDescent="0.25">
      <c r="B780" s="10"/>
      <c r="C780" s="10"/>
      <c r="D780" s="18">
        <v>763</v>
      </c>
      <c r="E780" s="21">
        <f t="shared" si="49"/>
        <v>19034385973</v>
      </c>
      <c r="F780" s="21">
        <f t="shared" si="46"/>
        <v>9802708776096</v>
      </c>
      <c r="G780" s="21">
        <f t="shared" si="47"/>
        <v>10183341216</v>
      </c>
      <c r="H780" s="22">
        <f t="shared" si="48"/>
        <v>0.29637423623353243</v>
      </c>
      <c r="I780" s="10"/>
    </row>
    <row r="781" spans="2:9" x14ac:dyDescent="0.25">
      <c r="B781" s="10"/>
      <c r="C781" s="10"/>
      <c r="D781" s="18">
        <v>764</v>
      </c>
      <c r="E781" s="21">
        <f t="shared" si="49"/>
        <v>10183341216</v>
      </c>
      <c r="F781" s="21">
        <f t="shared" si="46"/>
        <v>5244420726241</v>
      </c>
      <c r="G781" s="21">
        <f t="shared" si="47"/>
        <v>21740494305</v>
      </c>
      <c r="H781" s="22">
        <f t="shared" si="48"/>
        <v>0.63273166029830463</v>
      </c>
      <c r="I781" s="10"/>
    </row>
    <row r="782" spans="2:9" x14ac:dyDescent="0.25">
      <c r="B782" s="10"/>
      <c r="C782" s="10"/>
      <c r="D782" s="18">
        <v>765</v>
      </c>
      <c r="E782" s="21">
        <f t="shared" si="49"/>
        <v>21740494305</v>
      </c>
      <c r="F782" s="21">
        <f t="shared" si="46"/>
        <v>11196354567076</v>
      </c>
      <c r="G782" s="21">
        <f t="shared" si="47"/>
        <v>29439597476</v>
      </c>
      <c r="H782" s="22">
        <f t="shared" si="48"/>
        <v>0.85680505365598947</v>
      </c>
      <c r="I782" s="10"/>
    </row>
    <row r="783" spans="2:9" x14ac:dyDescent="0.25">
      <c r="B783" s="10"/>
      <c r="C783" s="10"/>
      <c r="D783" s="18">
        <v>766</v>
      </c>
      <c r="E783" s="21">
        <f t="shared" si="49"/>
        <v>29439597476</v>
      </c>
      <c r="F783" s="21">
        <f t="shared" si="46"/>
        <v>15161392700141</v>
      </c>
      <c r="G783" s="21">
        <f t="shared" si="47"/>
        <v>8748079853</v>
      </c>
      <c r="H783" s="22">
        <f t="shared" si="48"/>
        <v>0.2546026328636799</v>
      </c>
      <c r="I783" s="10"/>
    </row>
    <row r="784" spans="2:9" x14ac:dyDescent="0.25">
      <c r="B784" s="10"/>
      <c r="C784" s="10"/>
      <c r="D784" s="18">
        <v>767</v>
      </c>
      <c r="E784" s="21">
        <f t="shared" si="49"/>
        <v>8748079853</v>
      </c>
      <c r="F784" s="21">
        <f t="shared" si="46"/>
        <v>4505261124296</v>
      </c>
      <c r="G784" s="21">
        <f t="shared" si="47"/>
        <v>4135398088</v>
      </c>
      <c r="H784" s="22">
        <f t="shared" si="48"/>
        <v>0.12035592482425272</v>
      </c>
      <c r="I784" s="10"/>
    </row>
    <row r="785" spans="2:9" x14ac:dyDescent="0.25">
      <c r="B785" s="10"/>
      <c r="C785" s="10"/>
      <c r="D785" s="18">
        <v>768</v>
      </c>
      <c r="E785" s="21">
        <f t="shared" si="49"/>
        <v>4135398088</v>
      </c>
      <c r="F785" s="21">
        <f t="shared" si="46"/>
        <v>2129730015321</v>
      </c>
      <c r="G785" s="21">
        <f t="shared" si="47"/>
        <v>33785974873</v>
      </c>
      <c r="H785" s="22">
        <f t="shared" si="48"/>
        <v>0.98330128451925702</v>
      </c>
      <c r="I785" s="10"/>
    </row>
    <row r="786" spans="2:9" x14ac:dyDescent="0.25">
      <c r="B786" s="10"/>
      <c r="C786" s="10"/>
      <c r="D786" s="18">
        <v>769</v>
      </c>
      <c r="E786" s="21">
        <f t="shared" si="49"/>
        <v>33785974873</v>
      </c>
      <c r="F786" s="21">
        <f t="shared" si="46"/>
        <v>17399777059596</v>
      </c>
      <c r="G786" s="21">
        <f t="shared" si="47"/>
        <v>13749445388</v>
      </c>
      <c r="H786" s="22">
        <f t="shared" si="48"/>
        <v>0.40016152744647115</v>
      </c>
      <c r="I786" s="10"/>
    </row>
    <row r="787" spans="2:9" x14ac:dyDescent="0.25">
      <c r="B787" s="10"/>
      <c r="C787" s="10"/>
      <c r="D787" s="18">
        <v>770</v>
      </c>
      <c r="E787" s="21">
        <f t="shared" si="49"/>
        <v>13749445388</v>
      </c>
      <c r="F787" s="21">
        <f t="shared" ref="F787:F850" si="50">E$7 * E787 + H$7</f>
        <v>7080964374821</v>
      </c>
      <c r="G787" s="21">
        <f t="shared" ref="G787:G850" si="51">MOD(F787,F$7)</f>
        <v>2858271013</v>
      </c>
      <c r="H787" s="22">
        <f t="shared" ref="H787:H850" si="52">G787/F$7</f>
        <v>8.3186634961748496E-2</v>
      </c>
      <c r="I787" s="10"/>
    </row>
    <row r="788" spans="2:9" x14ac:dyDescent="0.25">
      <c r="B788" s="10"/>
      <c r="C788" s="10"/>
      <c r="D788" s="18">
        <v>771</v>
      </c>
      <c r="E788" s="21">
        <f t="shared" si="49"/>
        <v>2858271013</v>
      </c>
      <c r="F788" s="21">
        <f t="shared" si="50"/>
        <v>1472009571696</v>
      </c>
      <c r="G788" s="21">
        <f t="shared" si="51"/>
        <v>28900560240</v>
      </c>
      <c r="H788" s="22">
        <f t="shared" si="52"/>
        <v>0.84111700532957911</v>
      </c>
      <c r="I788" s="10"/>
    </row>
    <row r="789" spans="2:9" x14ac:dyDescent="0.25">
      <c r="B789" s="10"/>
      <c r="C789" s="10"/>
      <c r="D789" s="18">
        <v>772</v>
      </c>
      <c r="E789" s="21">
        <f t="shared" si="49"/>
        <v>28900560240</v>
      </c>
      <c r="F789" s="21">
        <f t="shared" si="50"/>
        <v>14883788523601</v>
      </c>
      <c r="G789" s="21">
        <f t="shared" si="51"/>
        <v>6021810257</v>
      </c>
      <c r="H789" s="22">
        <f t="shared" si="52"/>
        <v>0.17525774476234801</v>
      </c>
      <c r="I789" s="10"/>
    </row>
    <row r="790" spans="2:9" x14ac:dyDescent="0.25">
      <c r="B790" s="10"/>
      <c r="C790" s="10"/>
      <c r="D790" s="18">
        <v>773</v>
      </c>
      <c r="E790" s="21">
        <f t="shared" si="49"/>
        <v>6021810257</v>
      </c>
      <c r="F790" s="21">
        <f t="shared" si="50"/>
        <v>3101232282356</v>
      </c>
      <c r="G790" s="21">
        <f t="shared" si="51"/>
        <v>8855829236</v>
      </c>
      <c r="H790" s="22">
        <f t="shared" si="52"/>
        <v>0.25773855263832957</v>
      </c>
      <c r="I790" s="10"/>
    </row>
    <row r="791" spans="2:9" x14ac:dyDescent="0.25">
      <c r="B791" s="10"/>
      <c r="C791" s="10"/>
      <c r="D791" s="18">
        <v>774</v>
      </c>
      <c r="E791" s="21">
        <f t="shared" si="49"/>
        <v>8855829236</v>
      </c>
      <c r="F791" s="21">
        <f t="shared" si="50"/>
        <v>4560752056541</v>
      </c>
      <c r="G791" s="21">
        <f t="shared" si="51"/>
        <v>25266591965</v>
      </c>
      <c r="H791" s="22">
        <f t="shared" si="52"/>
        <v>0.73535460876883008</v>
      </c>
      <c r="I791" s="10"/>
    </row>
    <row r="792" spans="2:9" x14ac:dyDescent="0.25">
      <c r="B792" s="10"/>
      <c r="C792" s="10"/>
      <c r="D792" s="18">
        <v>775</v>
      </c>
      <c r="E792" s="21">
        <f t="shared" si="49"/>
        <v>25266591965</v>
      </c>
      <c r="F792" s="21">
        <f t="shared" si="50"/>
        <v>13012294861976</v>
      </c>
      <c r="G792" s="21">
        <f t="shared" si="51"/>
        <v>24313758872</v>
      </c>
      <c r="H792" s="22">
        <f t="shared" si="52"/>
        <v>0.7076235159765929</v>
      </c>
      <c r="I792" s="10"/>
    </row>
    <row r="793" spans="2:9" x14ac:dyDescent="0.25">
      <c r="B793" s="10"/>
      <c r="C793" s="10"/>
      <c r="D793" s="18">
        <v>776</v>
      </c>
      <c r="E793" s="21">
        <f t="shared" si="49"/>
        <v>24313758872</v>
      </c>
      <c r="F793" s="21">
        <f t="shared" si="50"/>
        <v>12521585819081</v>
      </c>
      <c r="G793" s="21">
        <f t="shared" si="51"/>
        <v>14641053129</v>
      </c>
      <c r="H793" s="22">
        <f t="shared" si="52"/>
        <v>0.42611072797444649</v>
      </c>
      <c r="I793" s="10"/>
    </row>
    <row r="794" spans="2:9" x14ac:dyDescent="0.25">
      <c r="B794" s="10"/>
      <c r="C794" s="10"/>
      <c r="D794" s="18">
        <v>777</v>
      </c>
      <c r="E794" s="21">
        <f t="shared" si="49"/>
        <v>14641053129</v>
      </c>
      <c r="F794" s="21">
        <f t="shared" si="50"/>
        <v>7540142361436</v>
      </c>
      <c r="G794" s="21">
        <f t="shared" si="51"/>
        <v>15359658844</v>
      </c>
      <c r="H794" s="22">
        <f t="shared" si="52"/>
        <v>0.44702490686904639</v>
      </c>
      <c r="I794" s="10"/>
    </row>
    <row r="795" spans="2:9" x14ac:dyDescent="0.25">
      <c r="B795" s="10"/>
      <c r="C795" s="10"/>
      <c r="D795" s="18">
        <v>778</v>
      </c>
      <c r="E795" s="21">
        <f t="shared" si="49"/>
        <v>15359658844</v>
      </c>
      <c r="F795" s="21">
        <f t="shared" si="50"/>
        <v>7910224304661</v>
      </c>
      <c r="G795" s="21">
        <f t="shared" si="51"/>
        <v>7484480021</v>
      </c>
      <c r="H795" s="22">
        <f t="shared" si="52"/>
        <v>0.21782703758799471</v>
      </c>
      <c r="I795" s="10"/>
    </row>
    <row r="796" spans="2:9" x14ac:dyDescent="0.25">
      <c r="B796" s="10"/>
      <c r="C796" s="10"/>
      <c r="D796" s="18">
        <v>779</v>
      </c>
      <c r="E796" s="21">
        <f t="shared" si="49"/>
        <v>7484480021</v>
      </c>
      <c r="F796" s="21">
        <f t="shared" si="50"/>
        <v>3854507210816</v>
      </c>
      <c r="G796" s="21">
        <f t="shared" si="51"/>
        <v>6216513600</v>
      </c>
      <c r="H796" s="22">
        <f t="shared" si="52"/>
        <v>0.18092435784637928</v>
      </c>
      <c r="I796" s="10"/>
    </row>
    <row r="797" spans="2:9" x14ac:dyDescent="0.25">
      <c r="B797" s="10"/>
      <c r="C797" s="10"/>
      <c r="D797" s="18">
        <v>780</v>
      </c>
      <c r="E797" s="21">
        <f t="shared" si="49"/>
        <v>6216513600</v>
      </c>
      <c r="F797" s="21">
        <f t="shared" si="50"/>
        <v>3201504504001</v>
      </c>
      <c r="G797" s="21">
        <f t="shared" si="51"/>
        <v>6048835777</v>
      </c>
      <c r="H797" s="22">
        <f t="shared" si="52"/>
        <v>0.17604429091443308</v>
      </c>
      <c r="I797" s="10"/>
    </row>
    <row r="798" spans="2:9" x14ac:dyDescent="0.25">
      <c r="B798" s="10"/>
      <c r="C798" s="10"/>
      <c r="D798" s="18">
        <v>781</v>
      </c>
      <c r="E798" s="21">
        <f t="shared" si="49"/>
        <v>6048835777</v>
      </c>
      <c r="F798" s="21">
        <f t="shared" si="50"/>
        <v>3115150425156</v>
      </c>
      <c r="G798" s="21">
        <f t="shared" si="51"/>
        <v>22773972036</v>
      </c>
      <c r="H798" s="22">
        <f t="shared" si="52"/>
        <v>0.66280982096213847</v>
      </c>
      <c r="I798" s="10"/>
    </row>
    <row r="799" spans="2:9" x14ac:dyDescent="0.25">
      <c r="B799" s="10"/>
      <c r="C799" s="10"/>
      <c r="D799" s="18">
        <v>782</v>
      </c>
      <c r="E799" s="21">
        <f t="shared" si="49"/>
        <v>22773972036</v>
      </c>
      <c r="F799" s="21">
        <f t="shared" si="50"/>
        <v>11728595598541</v>
      </c>
      <c r="G799" s="21">
        <f t="shared" si="51"/>
        <v>11924815053</v>
      </c>
      <c r="H799" s="22">
        <f t="shared" si="52"/>
        <v>0.34705779553041793</v>
      </c>
      <c r="I799" s="10"/>
    </row>
    <row r="800" spans="2:9" x14ac:dyDescent="0.25">
      <c r="B800" s="10"/>
      <c r="C800" s="10"/>
      <c r="D800" s="18">
        <v>783</v>
      </c>
      <c r="E800" s="21">
        <f t="shared" si="49"/>
        <v>11924815053</v>
      </c>
      <c r="F800" s="21">
        <f t="shared" si="50"/>
        <v>6141279752296</v>
      </c>
      <c r="G800" s="21">
        <f t="shared" si="51"/>
        <v>25246322792</v>
      </c>
      <c r="H800" s="22">
        <f t="shared" si="52"/>
        <v>0.73476469819433987</v>
      </c>
      <c r="I800" s="10"/>
    </row>
    <row r="801" spans="2:9" x14ac:dyDescent="0.25">
      <c r="B801" s="10"/>
      <c r="C801" s="10"/>
      <c r="D801" s="18">
        <v>784</v>
      </c>
      <c r="E801" s="21">
        <f t="shared" si="49"/>
        <v>25246322792</v>
      </c>
      <c r="F801" s="21">
        <f t="shared" si="50"/>
        <v>13001856237881</v>
      </c>
      <c r="G801" s="21">
        <f t="shared" si="51"/>
        <v>13875134777</v>
      </c>
      <c r="H801" s="22">
        <f t="shared" si="52"/>
        <v>0.4038195701141376</v>
      </c>
      <c r="I801" s="10"/>
    </row>
    <row r="802" spans="2:9" x14ac:dyDescent="0.25">
      <c r="B802" s="10"/>
      <c r="C802" s="10"/>
      <c r="D802" s="18">
        <v>785</v>
      </c>
      <c r="E802" s="21">
        <f t="shared" si="49"/>
        <v>13875134777</v>
      </c>
      <c r="F802" s="21">
        <f t="shared" si="50"/>
        <v>7145694410156</v>
      </c>
      <c r="G802" s="21">
        <f t="shared" si="51"/>
        <v>33228567980</v>
      </c>
      <c r="H802" s="22">
        <f t="shared" si="52"/>
        <v>0.96707860880997032</v>
      </c>
      <c r="I802" s="10"/>
    </row>
    <row r="803" spans="2:9" x14ac:dyDescent="0.25">
      <c r="B803" s="10"/>
      <c r="C803" s="10"/>
      <c r="D803" s="18">
        <v>786</v>
      </c>
      <c r="E803" s="21">
        <f t="shared" si="49"/>
        <v>33228567980</v>
      </c>
      <c r="F803" s="21">
        <f t="shared" si="50"/>
        <v>17112712509701</v>
      </c>
      <c r="G803" s="21">
        <f t="shared" si="51"/>
        <v>1562802437</v>
      </c>
      <c r="H803" s="22">
        <f t="shared" si="52"/>
        <v>4.5483537163818255E-2</v>
      </c>
      <c r="I803" s="10"/>
    </row>
    <row r="804" spans="2:9" x14ac:dyDescent="0.25">
      <c r="B804" s="10"/>
      <c r="C804" s="10"/>
      <c r="D804" s="18">
        <v>787</v>
      </c>
      <c r="E804" s="21">
        <f t="shared" si="49"/>
        <v>1562802437</v>
      </c>
      <c r="F804" s="21">
        <f t="shared" si="50"/>
        <v>804843255056</v>
      </c>
      <c r="G804" s="21">
        <f t="shared" si="51"/>
        <v>14569272592</v>
      </c>
      <c r="H804" s="22">
        <f t="shared" si="52"/>
        <v>0.42402163939550519</v>
      </c>
      <c r="I804" s="10"/>
    </row>
    <row r="805" spans="2:9" x14ac:dyDescent="0.25">
      <c r="B805" s="10"/>
      <c r="C805" s="10"/>
      <c r="D805" s="18">
        <v>788</v>
      </c>
      <c r="E805" s="21">
        <f t="shared" si="49"/>
        <v>14569272592</v>
      </c>
      <c r="F805" s="21">
        <f t="shared" si="50"/>
        <v>7503175384881</v>
      </c>
      <c r="G805" s="21">
        <f t="shared" si="51"/>
        <v>12752420657</v>
      </c>
      <c r="H805" s="22">
        <f t="shared" si="52"/>
        <v>0.37114428871427663</v>
      </c>
      <c r="I805" s="10"/>
    </row>
    <row r="806" spans="2:9" x14ac:dyDescent="0.25">
      <c r="B806" s="10"/>
      <c r="C806" s="10"/>
      <c r="D806" s="18">
        <v>789</v>
      </c>
      <c r="E806" s="21">
        <f t="shared" si="49"/>
        <v>12752420657</v>
      </c>
      <c r="F806" s="21">
        <f t="shared" si="50"/>
        <v>6567496638356</v>
      </c>
      <c r="G806" s="21">
        <f t="shared" si="51"/>
        <v>4786610068</v>
      </c>
      <c r="H806" s="22">
        <f t="shared" si="52"/>
        <v>0.13930868788156658</v>
      </c>
      <c r="I806" s="10"/>
    </row>
    <row r="807" spans="2:9" x14ac:dyDescent="0.25">
      <c r="B807" s="10"/>
      <c r="C807" s="10"/>
      <c r="D807" s="18">
        <v>790</v>
      </c>
      <c r="E807" s="21">
        <f t="shared" si="49"/>
        <v>4786610068</v>
      </c>
      <c r="F807" s="21">
        <f t="shared" si="50"/>
        <v>2465104185021</v>
      </c>
      <c r="G807" s="21">
        <f t="shared" si="51"/>
        <v>25562760893</v>
      </c>
      <c r="H807" s="22">
        <f t="shared" si="52"/>
        <v>0.74397425903589465</v>
      </c>
      <c r="I807" s="10"/>
    </row>
    <row r="808" spans="2:9" x14ac:dyDescent="0.25">
      <c r="B808" s="10"/>
      <c r="C808" s="10"/>
      <c r="D808" s="18">
        <v>791</v>
      </c>
      <c r="E808" s="21">
        <f t="shared" si="49"/>
        <v>25562760893</v>
      </c>
      <c r="F808" s="21">
        <f t="shared" si="50"/>
        <v>13164821859896</v>
      </c>
      <c r="G808" s="21">
        <f t="shared" si="51"/>
        <v>5042064952</v>
      </c>
      <c r="H808" s="22">
        <f t="shared" si="52"/>
        <v>0.14674340351484716</v>
      </c>
      <c r="I808" s="10"/>
    </row>
    <row r="809" spans="2:9" x14ac:dyDescent="0.25">
      <c r="B809" s="10"/>
      <c r="C809" s="10"/>
      <c r="D809" s="18">
        <v>792</v>
      </c>
      <c r="E809" s="21">
        <f t="shared" si="49"/>
        <v>5042064952</v>
      </c>
      <c r="F809" s="21">
        <f t="shared" si="50"/>
        <v>2596663450281</v>
      </c>
      <c r="G809" s="21">
        <f t="shared" si="51"/>
        <v>19683072681</v>
      </c>
      <c r="H809" s="22">
        <f t="shared" si="52"/>
        <v>0.57285281017539091</v>
      </c>
      <c r="I809" s="10"/>
    </row>
    <row r="810" spans="2:9" x14ac:dyDescent="0.25">
      <c r="B810" s="10"/>
      <c r="C810" s="10"/>
      <c r="D810" s="18">
        <v>793</v>
      </c>
      <c r="E810" s="21">
        <f t="shared" si="49"/>
        <v>19683072681</v>
      </c>
      <c r="F810" s="21">
        <f t="shared" si="50"/>
        <v>10136782430716</v>
      </c>
      <c r="G810" s="21">
        <f t="shared" si="51"/>
        <v>659612156</v>
      </c>
      <c r="H810" s="22">
        <f t="shared" si="52"/>
        <v>1.9197240355424583E-2</v>
      </c>
      <c r="I810" s="10"/>
    </row>
    <row r="811" spans="2:9" x14ac:dyDescent="0.25">
      <c r="B811" s="10"/>
      <c r="C811" s="10"/>
      <c r="D811" s="18">
        <v>794</v>
      </c>
      <c r="E811" s="21">
        <f t="shared" si="49"/>
        <v>659612156</v>
      </c>
      <c r="F811" s="21">
        <f t="shared" si="50"/>
        <v>339700260341</v>
      </c>
      <c r="G811" s="21">
        <f t="shared" si="51"/>
        <v>30462615029</v>
      </c>
      <c r="H811" s="22">
        <f t="shared" si="52"/>
        <v>0.88657878307276405</v>
      </c>
      <c r="I811" s="10"/>
    </row>
    <row r="812" spans="2:9" x14ac:dyDescent="0.25">
      <c r="B812" s="10"/>
      <c r="C812" s="10"/>
      <c r="D812" s="18">
        <v>795</v>
      </c>
      <c r="E812" s="21">
        <f t="shared" si="49"/>
        <v>30462615029</v>
      </c>
      <c r="F812" s="21">
        <f t="shared" si="50"/>
        <v>15688246739936</v>
      </c>
      <c r="G812" s="21">
        <f t="shared" si="51"/>
        <v>20206044128</v>
      </c>
      <c r="H812" s="22">
        <f t="shared" si="52"/>
        <v>0.58807328250259161</v>
      </c>
      <c r="I812" s="10"/>
    </row>
    <row r="813" spans="2:9" x14ac:dyDescent="0.25">
      <c r="B813" s="10"/>
      <c r="C813" s="10"/>
      <c r="D813" s="18">
        <v>796</v>
      </c>
      <c r="E813" s="21">
        <f t="shared" si="49"/>
        <v>20206044128</v>
      </c>
      <c r="F813" s="21">
        <f t="shared" si="50"/>
        <v>10406112725921</v>
      </c>
      <c r="G813" s="21">
        <f t="shared" si="51"/>
        <v>29471738785</v>
      </c>
      <c r="H813" s="22">
        <f t="shared" si="52"/>
        <v>0.85774048886378296</v>
      </c>
      <c r="I813" s="10"/>
    </row>
    <row r="814" spans="2:9" x14ac:dyDescent="0.25">
      <c r="B814" s="10"/>
      <c r="C814" s="10"/>
      <c r="D814" s="18">
        <v>797</v>
      </c>
      <c r="E814" s="21">
        <f t="shared" si="49"/>
        <v>29471738785</v>
      </c>
      <c r="F814" s="21">
        <f t="shared" si="50"/>
        <v>15177945474276</v>
      </c>
      <c r="G814" s="21">
        <f t="shared" si="51"/>
        <v>25300853988</v>
      </c>
      <c r="H814" s="22">
        <f t="shared" si="52"/>
        <v>0.73635176487732679</v>
      </c>
      <c r="I814" s="10"/>
    </row>
    <row r="815" spans="2:9" x14ac:dyDescent="0.25">
      <c r="B815" s="10"/>
      <c r="C815" s="10"/>
      <c r="D815" s="18">
        <v>798</v>
      </c>
      <c r="E815" s="21">
        <f t="shared" si="49"/>
        <v>25300853988</v>
      </c>
      <c r="F815" s="21">
        <f t="shared" si="50"/>
        <v>13029939803821</v>
      </c>
      <c r="G815" s="21">
        <f t="shared" si="51"/>
        <v>7598962349</v>
      </c>
      <c r="H815" s="22">
        <f t="shared" si="52"/>
        <v>0.22115891185239889</v>
      </c>
      <c r="I815" s="10"/>
    </row>
    <row r="816" spans="2:9" x14ac:dyDescent="0.25">
      <c r="B816" s="10"/>
      <c r="C816" s="10"/>
      <c r="D816" s="18">
        <v>799</v>
      </c>
      <c r="E816" s="21">
        <f t="shared" si="49"/>
        <v>7598962349</v>
      </c>
      <c r="F816" s="21">
        <f t="shared" si="50"/>
        <v>3913465609736</v>
      </c>
      <c r="G816" s="21">
        <f t="shared" si="51"/>
        <v>30815174152</v>
      </c>
      <c r="H816" s="22">
        <f t="shared" si="52"/>
        <v>0.89683960401453078</v>
      </c>
      <c r="I816" s="10"/>
    </row>
    <row r="817" spans="2:9" x14ac:dyDescent="0.25">
      <c r="B817" s="10"/>
      <c r="C817" s="10"/>
      <c r="D817" s="18">
        <v>800</v>
      </c>
      <c r="E817" s="21">
        <f t="shared" si="49"/>
        <v>30815174152</v>
      </c>
      <c r="F817" s="21">
        <f t="shared" si="50"/>
        <v>15869814688281</v>
      </c>
      <c r="G817" s="21">
        <f t="shared" si="51"/>
        <v>29975300633</v>
      </c>
      <c r="H817" s="22">
        <f t="shared" si="52"/>
        <v>0.87239606751245447</v>
      </c>
      <c r="I817" s="10"/>
    </row>
    <row r="818" spans="2:9" x14ac:dyDescent="0.25">
      <c r="B818" s="10"/>
      <c r="C818" s="10"/>
      <c r="D818" s="18">
        <v>801</v>
      </c>
      <c r="E818" s="21">
        <f t="shared" si="49"/>
        <v>29975300633</v>
      </c>
      <c r="F818" s="21">
        <f t="shared" si="50"/>
        <v>15437279825996</v>
      </c>
      <c r="G818" s="21">
        <f t="shared" si="51"/>
        <v>9757298764</v>
      </c>
      <c r="H818" s="22">
        <f t="shared" si="52"/>
        <v>0.28397476894315332</v>
      </c>
      <c r="I818" s="10"/>
    </row>
    <row r="819" spans="2:9" x14ac:dyDescent="0.25">
      <c r="B819" s="10"/>
      <c r="C819" s="10"/>
      <c r="D819" s="18">
        <v>802</v>
      </c>
      <c r="E819" s="21">
        <f t="shared" si="49"/>
        <v>9757298764</v>
      </c>
      <c r="F819" s="21">
        <f t="shared" si="50"/>
        <v>5025008863461</v>
      </c>
      <c r="G819" s="21">
        <f t="shared" si="51"/>
        <v>8487061733</v>
      </c>
      <c r="H819" s="22">
        <f t="shared" si="52"/>
        <v>0.24700600575306453</v>
      </c>
      <c r="I819" s="10"/>
    </row>
    <row r="820" spans="2:9" x14ac:dyDescent="0.25">
      <c r="B820" s="10"/>
      <c r="C820" s="10"/>
      <c r="D820" s="18">
        <v>803</v>
      </c>
      <c r="E820" s="21">
        <f t="shared" si="49"/>
        <v>8487061733</v>
      </c>
      <c r="F820" s="21">
        <f t="shared" si="50"/>
        <v>4370836792496</v>
      </c>
      <c r="G820" s="21">
        <f t="shared" si="51"/>
        <v>7150019760</v>
      </c>
      <c r="H820" s="22">
        <f t="shared" si="52"/>
        <v>0.20809296285733581</v>
      </c>
      <c r="I820" s="10"/>
    </row>
    <row r="821" spans="2:9" x14ac:dyDescent="0.25">
      <c r="B821" s="10"/>
      <c r="C821" s="10"/>
      <c r="D821" s="18">
        <v>804</v>
      </c>
      <c r="E821" s="21">
        <f t="shared" si="49"/>
        <v>7150019760</v>
      </c>
      <c r="F821" s="21">
        <f t="shared" si="50"/>
        <v>3682260176401</v>
      </c>
      <c r="G821" s="21">
        <f t="shared" si="51"/>
        <v>5768171025</v>
      </c>
      <c r="H821" s="22">
        <f t="shared" si="52"/>
        <v>0.16787587155704387</v>
      </c>
      <c r="I821" s="10"/>
    </row>
    <row r="822" spans="2:9" x14ac:dyDescent="0.25">
      <c r="B822" s="10"/>
      <c r="C822" s="10"/>
      <c r="D822" s="18">
        <v>805</v>
      </c>
      <c r="E822" s="21">
        <f t="shared" ref="E822:E885" si="53">G821</f>
        <v>5768171025</v>
      </c>
      <c r="F822" s="21">
        <f t="shared" si="50"/>
        <v>2970608077876</v>
      </c>
      <c r="G822" s="21">
        <f t="shared" si="51"/>
        <v>15670578228</v>
      </c>
      <c r="H822" s="22">
        <f t="shared" si="52"/>
        <v>0.45607385190669447</v>
      </c>
      <c r="I822" s="10"/>
    </row>
    <row r="823" spans="2:9" x14ac:dyDescent="0.25">
      <c r="B823" s="10"/>
      <c r="C823" s="10"/>
      <c r="D823" s="18">
        <v>806</v>
      </c>
      <c r="E823" s="21">
        <f t="shared" si="53"/>
        <v>15670578228</v>
      </c>
      <c r="F823" s="21">
        <f t="shared" si="50"/>
        <v>8070347787421</v>
      </c>
      <c r="G823" s="21">
        <f t="shared" si="51"/>
        <v>30169009309</v>
      </c>
      <c r="H823" s="22">
        <f t="shared" si="52"/>
        <v>0.87803373197675683</v>
      </c>
      <c r="I823" s="10"/>
    </row>
    <row r="824" spans="2:9" x14ac:dyDescent="0.25">
      <c r="B824" s="10"/>
      <c r="C824" s="10"/>
      <c r="D824" s="18">
        <v>807</v>
      </c>
      <c r="E824" s="21">
        <f t="shared" si="53"/>
        <v>30169009309</v>
      </c>
      <c r="F824" s="21">
        <f t="shared" si="50"/>
        <v>15537039794136</v>
      </c>
      <c r="G824" s="21">
        <f t="shared" si="51"/>
        <v>6438051800</v>
      </c>
      <c r="H824" s="22">
        <f t="shared" si="52"/>
        <v>0.18737196805886924</v>
      </c>
      <c r="I824" s="10"/>
    </row>
    <row r="825" spans="2:9" x14ac:dyDescent="0.25">
      <c r="B825" s="10"/>
      <c r="C825" s="10"/>
      <c r="D825" s="18">
        <v>808</v>
      </c>
      <c r="E825" s="21">
        <f t="shared" si="53"/>
        <v>6438051800</v>
      </c>
      <c r="F825" s="21">
        <f t="shared" si="50"/>
        <v>3315596677001</v>
      </c>
      <c r="G825" s="21">
        <f t="shared" si="51"/>
        <v>17061793673</v>
      </c>
      <c r="H825" s="22">
        <f t="shared" si="52"/>
        <v>0.4965635503467638</v>
      </c>
      <c r="I825" s="10"/>
    </row>
    <row r="826" spans="2:9" x14ac:dyDescent="0.25">
      <c r="B826" s="10"/>
      <c r="C826" s="10"/>
      <c r="D826" s="18">
        <v>809</v>
      </c>
      <c r="E826" s="21">
        <f t="shared" si="53"/>
        <v>17061793673</v>
      </c>
      <c r="F826" s="21">
        <f t="shared" si="50"/>
        <v>8786823741596</v>
      </c>
      <c r="G826" s="21">
        <f t="shared" si="51"/>
        <v>25090457756</v>
      </c>
      <c r="H826" s="22">
        <f t="shared" si="52"/>
        <v>0.73022842861246318</v>
      </c>
      <c r="I826" s="10"/>
    </row>
    <row r="827" spans="2:9" x14ac:dyDescent="0.25">
      <c r="B827" s="10"/>
      <c r="C827" s="10"/>
      <c r="D827" s="18">
        <v>810</v>
      </c>
      <c r="E827" s="21">
        <f t="shared" si="53"/>
        <v>25090457756</v>
      </c>
      <c r="F827" s="21">
        <f t="shared" si="50"/>
        <v>12921585744341</v>
      </c>
      <c r="G827" s="21">
        <f t="shared" si="51"/>
        <v>2324117973</v>
      </c>
      <c r="H827" s="22">
        <f t="shared" si="52"/>
        <v>6.7640735447639599E-2</v>
      </c>
      <c r="I827" s="10"/>
    </row>
    <row r="828" spans="2:9" x14ac:dyDescent="0.25">
      <c r="B828" s="10"/>
      <c r="C828" s="10"/>
      <c r="D828" s="18">
        <v>811</v>
      </c>
      <c r="E828" s="21">
        <f t="shared" si="53"/>
        <v>2324117973</v>
      </c>
      <c r="F828" s="21">
        <f t="shared" si="50"/>
        <v>1196920756096</v>
      </c>
      <c r="G828" s="21">
        <f t="shared" si="51"/>
        <v>28689651584</v>
      </c>
      <c r="H828" s="22">
        <f t="shared" si="52"/>
        <v>0.83497875556349754</v>
      </c>
      <c r="I828" s="10"/>
    </row>
    <row r="829" spans="2:9" x14ac:dyDescent="0.25">
      <c r="B829" s="10"/>
      <c r="C829" s="10"/>
      <c r="D829" s="18">
        <v>812</v>
      </c>
      <c r="E829" s="21">
        <f t="shared" si="53"/>
        <v>28689651584</v>
      </c>
      <c r="F829" s="21">
        <f t="shared" si="50"/>
        <v>14775170565761</v>
      </c>
      <c r="G829" s="21">
        <f t="shared" si="51"/>
        <v>483067521</v>
      </c>
      <c r="H829" s="22">
        <f t="shared" si="52"/>
        <v>1.4059115230338648E-2</v>
      </c>
      <c r="I829" s="10"/>
    </row>
    <row r="830" spans="2:9" x14ac:dyDescent="0.25">
      <c r="B830" s="10"/>
      <c r="C830" s="10"/>
      <c r="D830" s="18">
        <v>813</v>
      </c>
      <c r="E830" s="21">
        <f t="shared" si="53"/>
        <v>483067521</v>
      </c>
      <c r="F830" s="21">
        <f t="shared" si="50"/>
        <v>248779773316</v>
      </c>
      <c r="G830" s="21">
        <f t="shared" si="51"/>
        <v>8261604740</v>
      </c>
      <c r="H830" s="22">
        <f t="shared" si="52"/>
        <v>0.24044434365350753</v>
      </c>
      <c r="I830" s="10"/>
    </row>
    <row r="831" spans="2:9" x14ac:dyDescent="0.25">
      <c r="B831" s="10"/>
      <c r="C831" s="10"/>
      <c r="D831" s="18">
        <v>814</v>
      </c>
      <c r="E831" s="21">
        <f t="shared" si="53"/>
        <v>8261604740</v>
      </c>
      <c r="F831" s="21">
        <f t="shared" si="50"/>
        <v>4254726441101</v>
      </c>
      <c r="G831" s="21">
        <f t="shared" si="51"/>
        <v>28478621837</v>
      </c>
      <c r="H831" s="22">
        <f t="shared" si="52"/>
        <v>0.82883698158548214</v>
      </c>
      <c r="I831" s="10"/>
    </row>
    <row r="832" spans="2:9" x14ac:dyDescent="0.25">
      <c r="B832" s="10"/>
      <c r="C832" s="10"/>
      <c r="D832" s="18">
        <v>815</v>
      </c>
      <c r="E832" s="21">
        <f t="shared" si="53"/>
        <v>28478621837</v>
      </c>
      <c r="F832" s="21">
        <f t="shared" si="50"/>
        <v>14666490246056</v>
      </c>
      <c r="G832" s="21">
        <f t="shared" si="51"/>
        <v>29241701288</v>
      </c>
      <c r="H832" s="22">
        <f t="shared" si="52"/>
        <v>0.85104551655240357</v>
      </c>
      <c r="I832" s="10"/>
    </row>
    <row r="833" spans="2:9" x14ac:dyDescent="0.25">
      <c r="B833" s="10"/>
      <c r="C833" s="10"/>
      <c r="D833" s="18">
        <v>816</v>
      </c>
      <c r="E833" s="21">
        <f t="shared" si="53"/>
        <v>29241701288</v>
      </c>
      <c r="F833" s="21">
        <f t="shared" si="50"/>
        <v>15059476163321</v>
      </c>
      <c r="G833" s="21">
        <f t="shared" si="51"/>
        <v>9910758137</v>
      </c>
      <c r="H833" s="22">
        <f t="shared" si="52"/>
        <v>0.28844102451694198</v>
      </c>
      <c r="I833" s="10"/>
    </row>
    <row r="834" spans="2:9" x14ac:dyDescent="0.25">
      <c r="B834" s="10"/>
      <c r="C834" s="10"/>
      <c r="D834" s="18">
        <v>817</v>
      </c>
      <c r="E834" s="21">
        <f t="shared" si="53"/>
        <v>9910758137</v>
      </c>
      <c r="F834" s="21">
        <f t="shared" si="50"/>
        <v>5104040440556</v>
      </c>
      <c r="G834" s="21">
        <f t="shared" si="51"/>
        <v>18799162092</v>
      </c>
      <c r="H834" s="22">
        <f t="shared" si="52"/>
        <v>0.54712762625422329</v>
      </c>
      <c r="I834" s="10"/>
    </row>
    <row r="835" spans="2:9" x14ac:dyDescent="0.25">
      <c r="B835" s="10"/>
      <c r="C835" s="10"/>
      <c r="D835" s="18">
        <v>818</v>
      </c>
      <c r="E835" s="21">
        <f t="shared" si="53"/>
        <v>18799162092</v>
      </c>
      <c r="F835" s="21">
        <f t="shared" si="50"/>
        <v>9681568477381</v>
      </c>
      <c r="G835" s="21">
        <f t="shared" si="51"/>
        <v>26481995973</v>
      </c>
      <c r="H835" s="22">
        <f t="shared" si="52"/>
        <v>0.77072752095409669</v>
      </c>
      <c r="I835" s="10"/>
    </row>
    <row r="836" spans="2:9" x14ac:dyDescent="0.25">
      <c r="B836" s="10"/>
      <c r="C836" s="10"/>
      <c r="D836" s="18">
        <v>819</v>
      </c>
      <c r="E836" s="21">
        <f t="shared" si="53"/>
        <v>26481995973</v>
      </c>
      <c r="F836" s="21">
        <f t="shared" si="50"/>
        <v>13638227926096</v>
      </c>
      <c r="G836" s="21">
        <f t="shared" si="51"/>
        <v>31771532368</v>
      </c>
      <c r="H836" s="22">
        <f t="shared" si="52"/>
        <v>0.92467329138889909</v>
      </c>
      <c r="I836" s="10"/>
    </row>
    <row r="837" spans="2:9" x14ac:dyDescent="0.25">
      <c r="B837" s="10"/>
      <c r="C837" s="10"/>
      <c r="D837" s="18">
        <v>820</v>
      </c>
      <c r="E837" s="21">
        <f t="shared" si="53"/>
        <v>31771532368</v>
      </c>
      <c r="F837" s="21">
        <f t="shared" si="50"/>
        <v>16362339169521</v>
      </c>
      <c r="G837" s="21">
        <f t="shared" si="51"/>
        <v>7103706353</v>
      </c>
      <c r="H837" s="22">
        <f t="shared" si="52"/>
        <v>0.2067450653121341</v>
      </c>
      <c r="I837" s="10"/>
    </row>
    <row r="838" spans="2:9" x14ac:dyDescent="0.25">
      <c r="B838" s="10"/>
      <c r="C838" s="10"/>
      <c r="D838" s="18">
        <v>821</v>
      </c>
      <c r="E838" s="21">
        <f t="shared" si="53"/>
        <v>7103706353</v>
      </c>
      <c r="F838" s="21">
        <f t="shared" si="50"/>
        <v>3658408771796</v>
      </c>
      <c r="G838" s="21">
        <f t="shared" si="51"/>
        <v>16276504788</v>
      </c>
      <c r="H838" s="22">
        <f t="shared" si="52"/>
        <v>0.47370863577816635</v>
      </c>
      <c r="I838" s="10"/>
    </row>
    <row r="839" spans="2:9" x14ac:dyDescent="0.25">
      <c r="B839" s="10"/>
      <c r="C839" s="10"/>
      <c r="D839" s="18">
        <v>822</v>
      </c>
      <c r="E839" s="21">
        <f t="shared" si="53"/>
        <v>16276504788</v>
      </c>
      <c r="F839" s="21">
        <f t="shared" si="50"/>
        <v>8382399965821</v>
      </c>
      <c r="G839" s="21">
        <f t="shared" si="51"/>
        <v>32983542397</v>
      </c>
      <c r="H839" s="22">
        <f t="shared" si="52"/>
        <v>0.95994742578477599</v>
      </c>
      <c r="I839" s="10"/>
    </row>
    <row r="840" spans="2:9" x14ac:dyDescent="0.25">
      <c r="B840" s="10"/>
      <c r="C840" s="10"/>
      <c r="D840" s="18">
        <v>823</v>
      </c>
      <c r="E840" s="21">
        <f t="shared" si="53"/>
        <v>32983542397</v>
      </c>
      <c r="F840" s="21">
        <f t="shared" si="50"/>
        <v>16986524334456</v>
      </c>
      <c r="G840" s="21">
        <f t="shared" si="51"/>
        <v>12813580664</v>
      </c>
      <c r="H840" s="22">
        <f t="shared" si="52"/>
        <v>0.37292427918873727</v>
      </c>
      <c r="I840" s="10"/>
    </row>
    <row r="841" spans="2:9" x14ac:dyDescent="0.25">
      <c r="B841" s="10"/>
      <c r="C841" s="10"/>
      <c r="D841" s="18">
        <v>824</v>
      </c>
      <c r="E841" s="21">
        <f t="shared" si="53"/>
        <v>12813580664</v>
      </c>
      <c r="F841" s="21">
        <f t="shared" si="50"/>
        <v>6598994041961</v>
      </c>
      <c r="G841" s="21">
        <f t="shared" si="51"/>
        <v>1924275305</v>
      </c>
      <c r="H841" s="22">
        <f t="shared" si="52"/>
        <v>5.6003782228799537E-2</v>
      </c>
      <c r="I841" s="10"/>
    </row>
    <row r="842" spans="2:9" x14ac:dyDescent="0.25">
      <c r="B842" s="10"/>
      <c r="C842" s="10"/>
      <c r="D842" s="18">
        <v>825</v>
      </c>
      <c r="E842" s="21">
        <f t="shared" si="53"/>
        <v>1924275305</v>
      </c>
      <c r="F842" s="21">
        <f t="shared" si="50"/>
        <v>991001782076</v>
      </c>
      <c r="G842" s="21">
        <f t="shared" si="51"/>
        <v>28929107772</v>
      </c>
      <c r="H842" s="22">
        <f t="shared" si="52"/>
        <v>0.84194784786086529</v>
      </c>
      <c r="I842" s="10"/>
    </row>
    <row r="843" spans="2:9" x14ac:dyDescent="0.25">
      <c r="B843" s="10"/>
      <c r="C843" s="10"/>
      <c r="D843" s="18">
        <v>826</v>
      </c>
      <c r="E843" s="21">
        <f t="shared" si="53"/>
        <v>28929107772</v>
      </c>
      <c r="F843" s="21">
        <f t="shared" si="50"/>
        <v>14898490502581</v>
      </c>
      <c r="G843" s="21">
        <f t="shared" si="51"/>
        <v>20723789237</v>
      </c>
      <c r="H843" s="22">
        <f t="shared" si="52"/>
        <v>0.60314164837473072</v>
      </c>
      <c r="I843" s="10"/>
    </row>
    <row r="844" spans="2:9" x14ac:dyDescent="0.25">
      <c r="B844" s="10"/>
      <c r="C844" s="10"/>
      <c r="D844" s="18">
        <v>827</v>
      </c>
      <c r="E844" s="21">
        <f t="shared" si="53"/>
        <v>20723789237</v>
      </c>
      <c r="F844" s="21">
        <f t="shared" si="50"/>
        <v>10672751457056</v>
      </c>
      <c r="G844" s="21">
        <f t="shared" si="51"/>
        <v>21232562976</v>
      </c>
      <c r="H844" s="22">
        <f t="shared" si="52"/>
        <v>0.61794891301542521</v>
      </c>
      <c r="I844" s="10"/>
    </row>
    <row r="845" spans="2:9" x14ac:dyDescent="0.25">
      <c r="B845" s="10"/>
      <c r="C845" s="10"/>
      <c r="D845" s="18">
        <v>828</v>
      </c>
      <c r="E845" s="21">
        <f t="shared" si="53"/>
        <v>21232562976</v>
      </c>
      <c r="F845" s="21">
        <f t="shared" si="50"/>
        <v>10934769932641</v>
      </c>
      <c r="G845" s="21">
        <f t="shared" si="51"/>
        <v>8373131617</v>
      </c>
      <c r="H845" s="22">
        <f t="shared" si="52"/>
        <v>0.24369020297308452</v>
      </c>
      <c r="I845" s="10"/>
    </row>
    <row r="846" spans="2:9" x14ac:dyDescent="0.25">
      <c r="B846" s="10"/>
      <c r="C846" s="10"/>
      <c r="D846" s="18">
        <v>829</v>
      </c>
      <c r="E846" s="21">
        <f t="shared" si="53"/>
        <v>8373131617</v>
      </c>
      <c r="F846" s="21">
        <f t="shared" si="50"/>
        <v>4312162782756</v>
      </c>
      <c r="G846" s="21">
        <f t="shared" si="51"/>
        <v>17195486756</v>
      </c>
      <c r="H846" s="22">
        <f t="shared" si="52"/>
        <v>0.50045453116763383</v>
      </c>
      <c r="I846" s="10"/>
    </row>
    <row r="847" spans="2:9" x14ac:dyDescent="0.25">
      <c r="B847" s="10"/>
      <c r="C847" s="10"/>
      <c r="D847" s="18">
        <v>830</v>
      </c>
      <c r="E847" s="21">
        <f t="shared" si="53"/>
        <v>17195486756</v>
      </c>
      <c r="F847" s="21">
        <f t="shared" si="50"/>
        <v>8855675679341</v>
      </c>
      <c r="G847" s="21">
        <f t="shared" si="51"/>
        <v>25222918765</v>
      </c>
      <c r="H847" s="22">
        <f t="shared" si="52"/>
        <v>0.73408355136052705</v>
      </c>
      <c r="I847" s="10"/>
    </row>
    <row r="848" spans="2:9" x14ac:dyDescent="0.25">
      <c r="B848" s="10"/>
      <c r="C848" s="10"/>
      <c r="D848" s="18">
        <v>831</v>
      </c>
      <c r="E848" s="21">
        <f t="shared" si="53"/>
        <v>25222918765</v>
      </c>
      <c r="F848" s="21">
        <f t="shared" si="50"/>
        <v>12989803163976</v>
      </c>
      <c r="G848" s="21">
        <f t="shared" si="51"/>
        <v>1822060872</v>
      </c>
      <c r="H848" s="22">
        <f t="shared" si="52"/>
        <v>5.302895070053637E-2</v>
      </c>
      <c r="I848" s="10"/>
    </row>
    <row r="849" spans="2:9" x14ac:dyDescent="0.25">
      <c r="B849" s="10"/>
      <c r="C849" s="10"/>
      <c r="D849" s="18">
        <v>832</v>
      </c>
      <c r="E849" s="21">
        <f t="shared" si="53"/>
        <v>1822060872</v>
      </c>
      <c r="F849" s="21">
        <f t="shared" si="50"/>
        <v>938361349081</v>
      </c>
      <c r="G849" s="21">
        <f t="shared" si="51"/>
        <v>10648413145</v>
      </c>
      <c r="H849" s="22">
        <f t="shared" si="52"/>
        <v>0.30990961080533452</v>
      </c>
      <c r="I849" s="10"/>
    </row>
    <row r="850" spans="2:9" x14ac:dyDescent="0.25">
      <c r="B850" s="10"/>
      <c r="C850" s="10"/>
      <c r="D850" s="18">
        <v>833</v>
      </c>
      <c r="E850" s="21">
        <f t="shared" si="53"/>
        <v>10648413145</v>
      </c>
      <c r="F850" s="21">
        <f t="shared" si="50"/>
        <v>5483932769676</v>
      </c>
      <c r="G850" s="21">
        <f t="shared" si="51"/>
        <v>20734369164</v>
      </c>
      <c r="H850" s="22">
        <f t="shared" si="52"/>
        <v>0.60344956477638334</v>
      </c>
      <c r="I850" s="10"/>
    </row>
    <row r="851" spans="2:9" x14ac:dyDescent="0.25">
      <c r="B851" s="10"/>
      <c r="C851" s="10"/>
      <c r="D851" s="18">
        <v>834</v>
      </c>
      <c r="E851" s="21">
        <f t="shared" si="53"/>
        <v>20734369164</v>
      </c>
      <c r="F851" s="21">
        <f t="shared" ref="F851:F914" si="54">E$7 * E851 + H$7</f>
        <v>10678200119461</v>
      </c>
      <c r="G851" s="21">
        <f t="shared" ref="G851:G914" si="55">MOD(F851,F$7)</f>
        <v>26681225381</v>
      </c>
      <c r="H851" s="22">
        <f t="shared" ref="H851:H914" si="56">G851/F$7</f>
        <v>0.77652585986652412</v>
      </c>
      <c r="I851" s="10"/>
    </row>
    <row r="852" spans="2:9" x14ac:dyDescent="0.25">
      <c r="B852" s="10"/>
      <c r="C852" s="10"/>
      <c r="D852" s="18">
        <v>835</v>
      </c>
      <c r="E852" s="21">
        <f t="shared" si="53"/>
        <v>26681225381</v>
      </c>
      <c r="F852" s="21">
        <f t="shared" si="54"/>
        <v>13740831071216</v>
      </c>
      <c r="G852" s="21">
        <f t="shared" si="55"/>
        <v>31295462384</v>
      </c>
      <c r="H852" s="22">
        <f t="shared" si="56"/>
        <v>0.91081783128902316</v>
      </c>
      <c r="I852" s="10"/>
    </row>
    <row r="853" spans="2:9" x14ac:dyDescent="0.25">
      <c r="B853" s="10"/>
      <c r="C853" s="10"/>
      <c r="D853" s="18">
        <v>836</v>
      </c>
      <c r="E853" s="21">
        <f t="shared" si="53"/>
        <v>31295462384</v>
      </c>
      <c r="F853" s="21">
        <f t="shared" si="54"/>
        <v>16117163127761</v>
      </c>
      <c r="G853" s="21">
        <f t="shared" si="55"/>
        <v>2445833169</v>
      </c>
      <c r="H853" s="22">
        <f t="shared" si="56"/>
        <v>7.1183113876031712E-2</v>
      </c>
      <c r="I853" s="10"/>
    </row>
    <row r="854" spans="2:9" x14ac:dyDescent="0.25">
      <c r="B854" s="10"/>
      <c r="C854" s="10"/>
      <c r="D854" s="18">
        <v>837</v>
      </c>
      <c r="E854" s="21">
        <f t="shared" si="53"/>
        <v>2445833169</v>
      </c>
      <c r="F854" s="21">
        <f t="shared" si="54"/>
        <v>1259604082036</v>
      </c>
      <c r="G854" s="21">
        <f t="shared" si="55"/>
        <v>22653500788</v>
      </c>
      <c r="H854" s="22">
        <f t="shared" si="56"/>
        <v>0.65930364618543535</v>
      </c>
      <c r="I854" s="10"/>
    </row>
    <row r="855" spans="2:9" x14ac:dyDescent="0.25">
      <c r="B855" s="10"/>
      <c r="C855" s="10"/>
      <c r="D855" s="18">
        <v>838</v>
      </c>
      <c r="E855" s="21">
        <f t="shared" si="53"/>
        <v>22653500788</v>
      </c>
      <c r="F855" s="21">
        <f t="shared" si="54"/>
        <v>11666552905821</v>
      </c>
      <c r="G855" s="21">
        <f t="shared" si="55"/>
        <v>18601599069</v>
      </c>
      <c r="H855" s="22">
        <f t="shared" si="56"/>
        <v>0.54137778552831151</v>
      </c>
      <c r="I855" s="10"/>
    </row>
    <row r="856" spans="2:9" x14ac:dyDescent="0.25">
      <c r="B856" s="10"/>
      <c r="C856" s="10"/>
      <c r="D856" s="18">
        <v>839</v>
      </c>
      <c r="E856" s="21">
        <f t="shared" si="53"/>
        <v>18601599069</v>
      </c>
      <c r="F856" s="21">
        <f t="shared" si="54"/>
        <v>9579823520536</v>
      </c>
      <c r="G856" s="21">
        <f t="shared" si="55"/>
        <v>27816254232</v>
      </c>
      <c r="H856" s="22">
        <f t="shared" si="56"/>
        <v>0.80955954710952938</v>
      </c>
      <c r="I856" s="10"/>
    </row>
    <row r="857" spans="2:9" x14ac:dyDescent="0.25">
      <c r="B857" s="10"/>
      <c r="C857" s="10"/>
      <c r="D857" s="18">
        <v>840</v>
      </c>
      <c r="E857" s="21">
        <f t="shared" si="53"/>
        <v>27816254232</v>
      </c>
      <c r="F857" s="21">
        <f t="shared" si="54"/>
        <v>14325370929481</v>
      </c>
      <c r="G857" s="21">
        <f t="shared" si="55"/>
        <v>31719768393</v>
      </c>
      <c r="H857" s="22">
        <f t="shared" si="56"/>
        <v>0.92316676143673249</v>
      </c>
      <c r="I857" s="10"/>
    </row>
    <row r="858" spans="2:9" x14ac:dyDescent="0.25">
      <c r="B858" s="10"/>
      <c r="C858" s="10"/>
      <c r="D858" s="18">
        <v>841</v>
      </c>
      <c r="E858" s="21">
        <f t="shared" si="53"/>
        <v>31719768393</v>
      </c>
      <c r="F858" s="21">
        <f t="shared" si="54"/>
        <v>16335680722396</v>
      </c>
      <c r="G858" s="21">
        <f t="shared" si="55"/>
        <v>14804997596</v>
      </c>
      <c r="H858" s="22">
        <f t="shared" si="56"/>
        <v>0.43088213994633406</v>
      </c>
      <c r="I858" s="10"/>
    </row>
    <row r="859" spans="2:9" x14ac:dyDescent="0.25">
      <c r="B859" s="10"/>
      <c r="C859" s="10"/>
      <c r="D859" s="18">
        <v>842</v>
      </c>
      <c r="E859" s="21">
        <f t="shared" si="53"/>
        <v>14804997596</v>
      </c>
      <c r="F859" s="21">
        <f t="shared" si="54"/>
        <v>7624573761941</v>
      </c>
      <c r="G859" s="21">
        <f t="shared" si="55"/>
        <v>31071582613</v>
      </c>
      <c r="H859" s="22">
        <f t="shared" si="56"/>
        <v>0.90430207239114679</v>
      </c>
      <c r="I859" s="10"/>
    </row>
    <row r="860" spans="2:9" x14ac:dyDescent="0.25">
      <c r="B860" s="10"/>
      <c r="C860" s="10"/>
      <c r="D860" s="18">
        <v>843</v>
      </c>
      <c r="E860" s="21">
        <f t="shared" si="53"/>
        <v>31071582613</v>
      </c>
      <c r="F860" s="21">
        <f t="shared" si="54"/>
        <v>16001865045696</v>
      </c>
      <c r="G860" s="21">
        <f t="shared" si="55"/>
        <v>24586704576</v>
      </c>
      <c r="H860" s="22">
        <f t="shared" si="56"/>
        <v>0.71556728146970272</v>
      </c>
      <c r="I860" s="10"/>
    </row>
    <row r="861" spans="2:9" x14ac:dyDescent="0.25">
      <c r="B861" s="10"/>
      <c r="C861" s="10"/>
      <c r="D861" s="18">
        <v>844</v>
      </c>
      <c r="E861" s="21">
        <f t="shared" si="53"/>
        <v>24586704576</v>
      </c>
      <c r="F861" s="21">
        <f t="shared" si="54"/>
        <v>12662152856641</v>
      </c>
      <c r="G861" s="21">
        <f t="shared" si="55"/>
        <v>17769137217</v>
      </c>
      <c r="H861" s="22">
        <f t="shared" si="56"/>
        <v>0.51714995692600496</v>
      </c>
      <c r="I861" s="10"/>
    </row>
    <row r="862" spans="2:9" x14ac:dyDescent="0.25">
      <c r="B862" s="10"/>
      <c r="C862" s="10"/>
      <c r="D862" s="18">
        <v>845</v>
      </c>
      <c r="E862" s="21">
        <f t="shared" si="53"/>
        <v>17769137217</v>
      </c>
      <c r="F862" s="21">
        <f t="shared" si="54"/>
        <v>9151105666756</v>
      </c>
      <c r="G862" s="21">
        <f t="shared" si="55"/>
        <v>11415260868</v>
      </c>
      <c r="H862" s="22">
        <f t="shared" si="56"/>
        <v>0.33222781692165881</v>
      </c>
      <c r="I862" s="10"/>
    </row>
    <row r="863" spans="2:9" x14ac:dyDescent="0.25">
      <c r="B863" s="10"/>
      <c r="C863" s="10"/>
      <c r="D863" s="18">
        <v>846</v>
      </c>
      <c r="E863" s="21">
        <f t="shared" si="53"/>
        <v>11415260868</v>
      </c>
      <c r="F863" s="21">
        <f t="shared" si="54"/>
        <v>5878859347021</v>
      </c>
      <c r="G863" s="21">
        <f t="shared" si="55"/>
        <v>3344086093</v>
      </c>
      <c r="H863" s="22">
        <f t="shared" si="56"/>
        <v>9.7325714683393016E-2</v>
      </c>
      <c r="I863" s="10"/>
    </row>
    <row r="864" spans="2:9" x14ac:dyDescent="0.25">
      <c r="B864" s="10"/>
      <c r="C864" s="10"/>
      <c r="D864" s="18">
        <v>847</v>
      </c>
      <c r="E864" s="21">
        <f t="shared" si="53"/>
        <v>3344086093</v>
      </c>
      <c r="F864" s="21">
        <f t="shared" si="54"/>
        <v>1722204337896</v>
      </c>
      <c r="G864" s="21">
        <f t="shared" si="55"/>
        <v>4217419496</v>
      </c>
      <c r="H864" s="22">
        <f t="shared" si="56"/>
        <v>0.12274306197650731</v>
      </c>
      <c r="I864" s="10"/>
    </row>
    <row r="865" spans="2:9" x14ac:dyDescent="0.25">
      <c r="B865" s="10"/>
      <c r="C865" s="10"/>
      <c r="D865" s="18">
        <v>848</v>
      </c>
      <c r="E865" s="21">
        <f t="shared" si="53"/>
        <v>4217419496</v>
      </c>
      <c r="F865" s="21">
        <f t="shared" si="54"/>
        <v>2171971040441</v>
      </c>
      <c r="G865" s="21">
        <f t="shared" si="55"/>
        <v>7307523257</v>
      </c>
      <c r="H865" s="22">
        <f t="shared" si="56"/>
        <v>0.21267691793036647</v>
      </c>
      <c r="I865" s="10"/>
    </row>
    <row r="866" spans="2:9" x14ac:dyDescent="0.25">
      <c r="B866" s="10"/>
      <c r="C866" s="10"/>
      <c r="D866" s="18">
        <v>849</v>
      </c>
      <c r="E866" s="21">
        <f t="shared" si="53"/>
        <v>7307523257</v>
      </c>
      <c r="F866" s="21">
        <f t="shared" si="54"/>
        <v>3763374477356</v>
      </c>
      <c r="G866" s="21">
        <f t="shared" si="55"/>
        <v>18162995244</v>
      </c>
      <c r="H866" s="22">
        <f t="shared" si="56"/>
        <v>0.52861273416783661</v>
      </c>
      <c r="I866" s="10"/>
    </row>
    <row r="867" spans="2:9" x14ac:dyDescent="0.25">
      <c r="B867" s="10"/>
      <c r="C867" s="10"/>
      <c r="D867" s="18">
        <v>850</v>
      </c>
      <c r="E867" s="21">
        <f t="shared" si="53"/>
        <v>18162995244</v>
      </c>
      <c r="F867" s="21">
        <f t="shared" si="54"/>
        <v>9353942550661</v>
      </c>
      <c r="G867" s="21">
        <f t="shared" si="55"/>
        <v>8093714565</v>
      </c>
      <c r="H867" s="22">
        <f t="shared" si="56"/>
        <v>0.23555809646495618</v>
      </c>
      <c r="I867" s="10"/>
    </row>
    <row r="868" spans="2:9" x14ac:dyDescent="0.25">
      <c r="B868" s="10"/>
      <c r="C868" s="10"/>
      <c r="D868" s="18">
        <v>851</v>
      </c>
      <c r="E868" s="21">
        <f t="shared" si="53"/>
        <v>8093714565</v>
      </c>
      <c r="F868" s="21">
        <f t="shared" si="54"/>
        <v>4168263000976</v>
      </c>
      <c r="G868" s="21">
        <f t="shared" si="55"/>
        <v>10734658448</v>
      </c>
      <c r="H868" s="22">
        <f t="shared" si="56"/>
        <v>0.31241967948153615</v>
      </c>
      <c r="I868" s="10"/>
    </row>
    <row r="869" spans="2:9" x14ac:dyDescent="0.25">
      <c r="B869" s="10"/>
      <c r="C869" s="10"/>
      <c r="D869" s="18">
        <v>852</v>
      </c>
      <c r="E869" s="21">
        <f t="shared" si="53"/>
        <v>10734658448</v>
      </c>
      <c r="F869" s="21">
        <f t="shared" si="54"/>
        <v>5528349100721</v>
      </c>
      <c r="G869" s="21">
        <f t="shared" si="55"/>
        <v>30790961841</v>
      </c>
      <c r="H869" s="22">
        <f t="shared" si="56"/>
        <v>0.89613493302022107</v>
      </c>
      <c r="I869" s="10"/>
    </row>
    <row r="870" spans="2:9" x14ac:dyDescent="0.25">
      <c r="B870" s="10"/>
      <c r="C870" s="10"/>
      <c r="D870" s="18">
        <v>853</v>
      </c>
      <c r="E870" s="21">
        <f t="shared" si="53"/>
        <v>30790961841</v>
      </c>
      <c r="F870" s="21">
        <f t="shared" si="54"/>
        <v>15857345348116</v>
      </c>
      <c r="G870" s="21">
        <f t="shared" si="55"/>
        <v>17505960468</v>
      </c>
      <c r="H870" s="22">
        <f t="shared" si="56"/>
        <v>0.5094905054429546</v>
      </c>
      <c r="I870" s="10"/>
    </row>
    <row r="871" spans="2:9" x14ac:dyDescent="0.25">
      <c r="B871" s="10"/>
      <c r="C871" s="10"/>
      <c r="D871" s="18">
        <v>854</v>
      </c>
      <c r="E871" s="21">
        <f t="shared" si="53"/>
        <v>17505960468</v>
      </c>
      <c r="F871" s="21">
        <f t="shared" si="54"/>
        <v>9015569641021</v>
      </c>
      <c r="G871" s="21">
        <f t="shared" si="55"/>
        <v>13318188605</v>
      </c>
      <c r="H871" s="22">
        <f t="shared" si="56"/>
        <v>0.38761030315072276</v>
      </c>
      <c r="I871" s="10"/>
    </row>
    <row r="872" spans="2:9" x14ac:dyDescent="0.25">
      <c r="B872" s="10"/>
      <c r="C872" s="10"/>
      <c r="D872" s="18">
        <v>855</v>
      </c>
      <c r="E872" s="21">
        <f t="shared" si="53"/>
        <v>13318188605</v>
      </c>
      <c r="F872" s="21">
        <f t="shared" si="54"/>
        <v>6858867131576</v>
      </c>
      <c r="G872" s="21">
        <f t="shared" si="55"/>
        <v>21279196344</v>
      </c>
      <c r="H872" s="22">
        <f t="shared" si="56"/>
        <v>0.61930612265132368</v>
      </c>
      <c r="I872" s="10"/>
    </row>
    <row r="873" spans="2:9" x14ac:dyDescent="0.25">
      <c r="B873" s="10"/>
      <c r="C873" s="10"/>
      <c r="D873" s="18">
        <v>856</v>
      </c>
      <c r="E873" s="21">
        <f t="shared" si="53"/>
        <v>21279196344</v>
      </c>
      <c r="F873" s="21">
        <f t="shared" si="54"/>
        <v>10958786117161</v>
      </c>
      <c r="G873" s="21">
        <f t="shared" si="55"/>
        <v>32389316137</v>
      </c>
      <c r="H873" s="22">
        <f t="shared" si="56"/>
        <v>0.94265316546079703</v>
      </c>
      <c r="I873" s="10"/>
    </row>
    <row r="874" spans="2:9" x14ac:dyDescent="0.25">
      <c r="B874" s="10"/>
      <c r="C874" s="10"/>
      <c r="D874" s="18">
        <v>857</v>
      </c>
      <c r="E874" s="21">
        <f t="shared" si="53"/>
        <v>32389316137</v>
      </c>
      <c r="F874" s="21">
        <f t="shared" si="54"/>
        <v>16680497810556</v>
      </c>
      <c r="G874" s="21">
        <f t="shared" si="55"/>
        <v>16024702076</v>
      </c>
      <c r="H874" s="22">
        <f t="shared" si="56"/>
        <v>0.46638021233957261</v>
      </c>
      <c r="I874" s="10"/>
    </row>
    <row r="875" spans="2:9" x14ac:dyDescent="0.25">
      <c r="B875" s="10"/>
      <c r="C875" s="10"/>
      <c r="D875" s="18">
        <v>858</v>
      </c>
      <c r="E875" s="21">
        <f t="shared" si="53"/>
        <v>16024702076</v>
      </c>
      <c r="F875" s="21">
        <f t="shared" si="54"/>
        <v>8252721569141</v>
      </c>
      <c r="G875" s="21">
        <f t="shared" si="55"/>
        <v>6384360821</v>
      </c>
      <c r="H875" s="22">
        <f t="shared" si="56"/>
        <v>0.18580935490899719</v>
      </c>
      <c r="I875" s="10"/>
    </row>
    <row r="876" spans="2:9" x14ac:dyDescent="0.25">
      <c r="B876" s="10"/>
      <c r="C876" s="10"/>
      <c r="D876" s="18">
        <v>859</v>
      </c>
      <c r="E876" s="21">
        <f t="shared" si="53"/>
        <v>6384360821</v>
      </c>
      <c r="F876" s="21">
        <f t="shared" si="54"/>
        <v>3287945822816</v>
      </c>
      <c r="G876" s="21">
        <f t="shared" si="55"/>
        <v>23770677856</v>
      </c>
      <c r="H876" s="22">
        <f t="shared" si="56"/>
        <v>0.69181777816265821</v>
      </c>
      <c r="I876" s="10"/>
    </row>
    <row r="877" spans="2:9" x14ac:dyDescent="0.25">
      <c r="B877" s="10"/>
      <c r="C877" s="10"/>
      <c r="D877" s="18">
        <v>860</v>
      </c>
      <c r="E877" s="21">
        <f t="shared" si="53"/>
        <v>23770677856</v>
      </c>
      <c r="F877" s="21">
        <f t="shared" si="54"/>
        <v>12241899095841</v>
      </c>
      <c r="G877" s="21">
        <f t="shared" si="55"/>
        <v>9832236833</v>
      </c>
      <c r="H877" s="22">
        <f t="shared" si="56"/>
        <v>0.28615575379808433</v>
      </c>
      <c r="I877" s="10"/>
    </row>
    <row r="878" spans="2:9" x14ac:dyDescent="0.25">
      <c r="B878" s="10"/>
      <c r="C878" s="10"/>
      <c r="D878" s="18">
        <v>861</v>
      </c>
      <c r="E878" s="21">
        <f t="shared" si="53"/>
        <v>9832236833</v>
      </c>
      <c r="F878" s="21">
        <f t="shared" si="54"/>
        <v>5063601968996</v>
      </c>
      <c r="G878" s="21">
        <f t="shared" si="55"/>
        <v>12720428900</v>
      </c>
      <c r="H878" s="22">
        <f t="shared" si="56"/>
        <v>0.3702132060425356</v>
      </c>
      <c r="I878" s="10"/>
    </row>
    <row r="879" spans="2:9" x14ac:dyDescent="0.25">
      <c r="B879" s="10"/>
      <c r="C879" s="10"/>
      <c r="D879" s="18">
        <v>862</v>
      </c>
      <c r="E879" s="21">
        <f t="shared" si="53"/>
        <v>12720428900</v>
      </c>
      <c r="F879" s="21">
        <f t="shared" si="54"/>
        <v>6551020883501</v>
      </c>
      <c r="G879" s="21">
        <f t="shared" si="55"/>
        <v>22670593581</v>
      </c>
      <c r="H879" s="22">
        <f t="shared" si="56"/>
        <v>0.6598011119349394</v>
      </c>
      <c r="I879" s="10"/>
    </row>
    <row r="880" spans="2:9" x14ac:dyDescent="0.25">
      <c r="B880" s="10"/>
      <c r="C880" s="10"/>
      <c r="D880" s="18">
        <v>863</v>
      </c>
      <c r="E880" s="21">
        <f t="shared" si="53"/>
        <v>22670593581</v>
      </c>
      <c r="F880" s="21">
        <f t="shared" si="54"/>
        <v>11675355694216</v>
      </c>
      <c r="G880" s="21">
        <f t="shared" si="55"/>
        <v>27404387464</v>
      </c>
      <c r="H880" s="22">
        <f t="shared" si="56"/>
        <v>0.7975726465228945</v>
      </c>
      <c r="I880" s="10"/>
    </row>
    <row r="881" spans="2:9" x14ac:dyDescent="0.25">
      <c r="B881" s="10"/>
      <c r="C881" s="10"/>
      <c r="D881" s="18">
        <v>864</v>
      </c>
      <c r="E881" s="21">
        <f t="shared" si="53"/>
        <v>27404387464</v>
      </c>
      <c r="F881" s="21">
        <f t="shared" si="54"/>
        <v>14113259543961</v>
      </c>
      <c r="G881" s="21">
        <f t="shared" si="55"/>
        <v>25766813081</v>
      </c>
      <c r="H881" s="22">
        <f t="shared" si="56"/>
        <v>0.7499129593197722</v>
      </c>
      <c r="I881" s="10"/>
    </row>
    <row r="882" spans="2:9" x14ac:dyDescent="0.25">
      <c r="B882" s="10"/>
      <c r="C882" s="10"/>
      <c r="D882" s="18">
        <v>865</v>
      </c>
      <c r="E882" s="21">
        <f t="shared" si="53"/>
        <v>25766813081</v>
      </c>
      <c r="F882" s="21">
        <f t="shared" si="54"/>
        <v>13269908736716</v>
      </c>
      <c r="G882" s="21">
        <f t="shared" si="55"/>
        <v>7049726668</v>
      </c>
      <c r="H882" s="22">
        <f t="shared" si="56"/>
        <v>0.20517404971178621</v>
      </c>
      <c r="I882" s="10"/>
    </row>
    <row r="883" spans="2:9" x14ac:dyDescent="0.25">
      <c r="B883" s="10"/>
      <c r="C883" s="10"/>
      <c r="D883" s="18">
        <v>866</v>
      </c>
      <c r="E883" s="21">
        <f t="shared" si="53"/>
        <v>7049726668</v>
      </c>
      <c r="F883" s="21">
        <f t="shared" si="54"/>
        <v>3630609234021</v>
      </c>
      <c r="G883" s="21">
        <f t="shared" si="55"/>
        <v>22836705381</v>
      </c>
      <c r="H883" s="22">
        <f t="shared" si="56"/>
        <v>0.66463560159900226</v>
      </c>
      <c r="I883" s="10"/>
    </row>
    <row r="884" spans="2:9" x14ac:dyDescent="0.25">
      <c r="B884" s="10"/>
      <c r="C884" s="10"/>
      <c r="D884" s="18">
        <v>867</v>
      </c>
      <c r="E884" s="21">
        <f t="shared" si="53"/>
        <v>22836705381</v>
      </c>
      <c r="F884" s="21">
        <f t="shared" si="54"/>
        <v>11760903271216</v>
      </c>
      <c r="G884" s="21">
        <f t="shared" si="55"/>
        <v>9872749360</v>
      </c>
      <c r="H884" s="22">
        <f t="shared" si="56"/>
        <v>0.28733482351526618</v>
      </c>
      <c r="I884" s="10"/>
    </row>
    <row r="885" spans="2:9" x14ac:dyDescent="0.25">
      <c r="B885" s="10"/>
      <c r="C885" s="10"/>
      <c r="D885" s="18">
        <v>868</v>
      </c>
      <c r="E885" s="21">
        <f t="shared" si="53"/>
        <v>9872749360</v>
      </c>
      <c r="F885" s="21">
        <f t="shared" si="54"/>
        <v>5084465920401</v>
      </c>
      <c r="G885" s="21">
        <f t="shared" si="55"/>
        <v>33584380305</v>
      </c>
      <c r="H885" s="22">
        <f t="shared" si="56"/>
        <v>0.97743411039118655</v>
      </c>
      <c r="I885" s="10"/>
    </row>
    <row r="886" spans="2:9" x14ac:dyDescent="0.25">
      <c r="B886" s="10"/>
      <c r="C886" s="10"/>
      <c r="D886" s="18">
        <v>869</v>
      </c>
      <c r="E886" s="21">
        <f t="shared" ref="E886:E949" si="57">G885</f>
        <v>33584380305</v>
      </c>
      <c r="F886" s="21">
        <f t="shared" si="54"/>
        <v>17295955857076</v>
      </c>
      <c r="G886" s="21">
        <f t="shared" si="55"/>
        <v>13007457972</v>
      </c>
      <c r="H886" s="22">
        <f t="shared" si="56"/>
        <v>0.37856685149017721</v>
      </c>
      <c r="I886" s="10"/>
    </row>
    <row r="887" spans="2:9" x14ac:dyDescent="0.25">
      <c r="B887" s="10"/>
      <c r="C887" s="10"/>
      <c r="D887" s="18">
        <v>870</v>
      </c>
      <c r="E887" s="21">
        <f t="shared" si="57"/>
        <v>13007457972</v>
      </c>
      <c r="F887" s="21">
        <f t="shared" si="54"/>
        <v>6698840855581</v>
      </c>
      <c r="G887" s="21">
        <f t="shared" si="55"/>
        <v>33051612189</v>
      </c>
      <c r="H887" s="22">
        <f t="shared" si="56"/>
        <v>0.96192851747036912</v>
      </c>
      <c r="I887" s="10"/>
    </row>
    <row r="888" spans="2:9" x14ac:dyDescent="0.25">
      <c r="B888" s="10"/>
      <c r="C888" s="10"/>
      <c r="D888" s="18">
        <v>871</v>
      </c>
      <c r="E888" s="21">
        <f t="shared" si="57"/>
        <v>33051612189</v>
      </c>
      <c r="F888" s="21">
        <f t="shared" si="54"/>
        <v>17021580277336</v>
      </c>
      <c r="G888" s="21">
        <f t="shared" si="55"/>
        <v>13509785176</v>
      </c>
      <c r="H888" s="22">
        <f t="shared" si="56"/>
        <v>0.3931864972691983</v>
      </c>
      <c r="I888" s="10"/>
    </row>
    <row r="889" spans="2:9" x14ac:dyDescent="0.25">
      <c r="B889" s="10"/>
      <c r="C889" s="10"/>
      <c r="D889" s="18">
        <v>872</v>
      </c>
      <c r="E889" s="21">
        <f t="shared" si="57"/>
        <v>13509785176</v>
      </c>
      <c r="F889" s="21">
        <f t="shared" si="54"/>
        <v>6957539365641</v>
      </c>
      <c r="G889" s="21">
        <f t="shared" si="55"/>
        <v>16872215305</v>
      </c>
      <c r="H889" s="22">
        <f t="shared" si="56"/>
        <v>0.49104609366622753</v>
      </c>
      <c r="I889" s="10"/>
    </row>
    <row r="890" spans="2:9" x14ac:dyDescent="0.25">
      <c r="B890" s="10"/>
      <c r="C890" s="10"/>
      <c r="D890" s="18">
        <v>873</v>
      </c>
      <c r="E890" s="21">
        <f t="shared" si="57"/>
        <v>16872215305</v>
      </c>
      <c r="F890" s="21">
        <f t="shared" si="54"/>
        <v>8689190882076</v>
      </c>
      <c r="G890" s="21">
        <f t="shared" si="55"/>
        <v>30536813340</v>
      </c>
      <c r="H890" s="22">
        <f t="shared" si="56"/>
        <v>0.88873823813628405</v>
      </c>
      <c r="I890" s="10"/>
    </row>
    <row r="891" spans="2:9" x14ac:dyDescent="0.25">
      <c r="B891" s="10"/>
      <c r="C891" s="10"/>
      <c r="D891" s="18">
        <v>874</v>
      </c>
      <c r="E891" s="21">
        <f t="shared" si="57"/>
        <v>30536813340</v>
      </c>
      <c r="F891" s="21">
        <f t="shared" si="54"/>
        <v>15726458870101</v>
      </c>
      <c r="G891" s="21">
        <f t="shared" si="55"/>
        <v>24058435925</v>
      </c>
      <c r="H891" s="22">
        <f t="shared" si="56"/>
        <v>0.70019264021539129</v>
      </c>
      <c r="I891" s="10"/>
    </row>
    <row r="892" spans="2:9" x14ac:dyDescent="0.25">
      <c r="B892" s="10"/>
      <c r="C892" s="10"/>
      <c r="D892" s="18">
        <v>875</v>
      </c>
      <c r="E892" s="21">
        <f t="shared" si="57"/>
        <v>24058435925</v>
      </c>
      <c r="F892" s="21">
        <f t="shared" si="54"/>
        <v>12390094501376</v>
      </c>
      <c r="G892" s="21">
        <f t="shared" si="55"/>
        <v>20588688896</v>
      </c>
      <c r="H892" s="22">
        <f t="shared" si="56"/>
        <v>0.59920971095561981</v>
      </c>
      <c r="I892" s="10"/>
    </row>
    <row r="893" spans="2:9" x14ac:dyDescent="0.25">
      <c r="B893" s="10"/>
      <c r="C893" s="10"/>
      <c r="D893" s="18">
        <v>876</v>
      </c>
      <c r="E893" s="21">
        <f t="shared" si="57"/>
        <v>20588688896</v>
      </c>
      <c r="F893" s="21">
        <f t="shared" si="54"/>
        <v>10603174781441</v>
      </c>
      <c r="G893" s="21">
        <f t="shared" si="55"/>
        <v>20375364097</v>
      </c>
      <c r="H893" s="22">
        <f t="shared" si="56"/>
        <v>0.59300114217330702</v>
      </c>
      <c r="I893" s="10"/>
    </row>
    <row r="894" spans="2:9" x14ac:dyDescent="0.25">
      <c r="B894" s="10"/>
      <c r="C894" s="10"/>
      <c r="D894" s="18">
        <v>877</v>
      </c>
      <c r="E894" s="21">
        <f t="shared" si="57"/>
        <v>20375364097</v>
      </c>
      <c r="F894" s="21">
        <f t="shared" si="54"/>
        <v>10493312509956</v>
      </c>
      <c r="G894" s="21">
        <f t="shared" si="55"/>
        <v>13592307716</v>
      </c>
      <c r="H894" s="22">
        <f t="shared" si="56"/>
        <v>0.39558821928221732</v>
      </c>
      <c r="I894" s="10"/>
    </row>
    <row r="895" spans="2:9" x14ac:dyDescent="0.25">
      <c r="B895" s="10"/>
      <c r="C895" s="10"/>
      <c r="D895" s="18">
        <v>878</v>
      </c>
      <c r="E895" s="21">
        <f t="shared" si="57"/>
        <v>13592307716</v>
      </c>
      <c r="F895" s="21">
        <f t="shared" si="54"/>
        <v>7000038473741</v>
      </c>
      <c r="G895" s="21">
        <f t="shared" si="55"/>
        <v>25011585037</v>
      </c>
      <c r="H895" s="22">
        <f t="shared" si="56"/>
        <v>0.72793293037102558</v>
      </c>
      <c r="I895" s="10"/>
    </row>
    <row r="896" spans="2:9" x14ac:dyDescent="0.25">
      <c r="B896" s="10"/>
      <c r="C896" s="10"/>
      <c r="D896" s="18">
        <v>879</v>
      </c>
      <c r="E896" s="21">
        <f t="shared" si="57"/>
        <v>25011585037</v>
      </c>
      <c r="F896" s="21">
        <f t="shared" si="54"/>
        <v>12880966294056</v>
      </c>
      <c r="G896" s="21">
        <f t="shared" si="55"/>
        <v>30424144424</v>
      </c>
      <c r="H896" s="22">
        <f t="shared" si="56"/>
        <v>0.88545914110727608</v>
      </c>
      <c r="I896" s="10"/>
    </row>
    <row r="897" spans="2:9" x14ac:dyDescent="0.25">
      <c r="B897" s="10"/>
      <c r="C897" s="10"/>
      <c r="D897" s="18">
        <v>880</v>
      </c>
      <c r="E897" s="21">
        <f t="shared" si="57"/>
        <v>30424144424</v>
      </c>
      <c r="F897" s="21">
        <f t="shared" si="54"/>
        <v>15668434378361</v>
      </c>
      <c r="G897" s="21">
        <f t="shared" si="55"/>
        <v>393682553</v>
      </c>
      <c r="H897" s="22">
        <f t="shared" si="56"/>
        <v>1.145767027628608E-2</v>
      </c>
      <c r="I897" s="10"/>
    </row>
    <row r="898" spans="2:9" x14ac:dyDescent="0.25">
      <c r="B898" s="10"/>
      <c r="C898" s="10"/>
      <c r="D898" s="18">
        <v>881</v>
      </c>
      <c r="E898" s="21">
        <f t="shared" si="57"/>
        <v>393682553</v>
      </c>
      <c r="F898" s="21">
        <f t="shared" si="54"/>
        <v>202746514796</v>
      </c>
      <c r="G898" s="21">
        <f t="shared" si="55"/>
        <v>30947822956</v>
      </c>
      <c r="H898" s="22">
        <f t="shared" si="56"/>
        <v>0.90070019231643528</v>
      </c>
      <c r="I898" s="10"/>
    </row>
    <row r="899" spans="2:9" x14ac:dyDescent="0.25">
      <c r="B899" s="10"/>
      <c r="C899" s="10"/>
      <c r="D899" s="18">
        <v>882</v>
      </c>
      <c r="E899" s="21">
        <f t="shared" si="57"/>
        <v>30947822956</v>
      </c>
      <c r="F899" s="21">
        <f t="shared" si="54"/>
        <v>15938128822341</v>
      </c>
      <c r="G899" s="21">
        <f t="shared" si="55"/>
        <v>29569957957</v>
      </c>
      <c r="H899" s="22">
        <f t="shared" si="56"/>
        <v>0.86059904299327172</v>
      </c>
      <c r="I899" s="10"/>
    </row>
    <row r="900" spans="2:9" x14ac:dyDescent="0.25">
      <c r="B900" s="10"/>
      <c r="C900" s="10"/>
      <c r="D900" s="18">
        <v>883</v>
      </c>
      <c r="E900" s="21">
        <f t="shared" si="57"/>
        <v>29569957957</v>
      </c>
      <c r="F900" s="21">
        <f t="shared" si="54"/>
        <v>15228528347856</v>
      </c>
      <c r="G900" s="21">
        <f t="shared" si="55"/>
        <v>7164250832</v>
      </c>
      <c r="H900" s="22">
        <f t="shared" si="56"/>
        <v>0.20850714156404138</v>
      </c>
      <c r="I900" s="10"/>
    </row>
    <row r="901" spans="2:9" x14ac:dyDescent="0.25">
      <c r="B901" s="10"/>
      <c r="C901" s="10"/>
      <c r="D901" s="18">
        <v>884</v>
      </c>
      <c r="E901" s="21">
        <f t="shared" si="57"/>
        <v>7164250832</v>
      </c>
      <c r="F901" s="21">
        <f t="shared" si="54"/>
        <v>3689589178481</v>
      </c>
      <c r="G901" s="21">
        <f t="shared" si="55"/>
        <v>13097173105</v>
      </c>
      <c r="H901" s="22">
        <f t="shared" si="56"/>
        <v>0.38117790551041253</v>
      </c>
      <c r="I901" s="10"/>
    </row>
    <row r="902" spans="2:9" x14ac:dyDescent="0.25">
      <c r="B902" s="10"/>
      <c r="C902" s="10"/>
      <c r="D902" s="18">
        <v>885</v>
      </c>
      <c r="E902" s="21">
        <f t="shared" si="57"/>
        <v>13097173105</v>
      </c>
      <c r="F902" s="21">
        <f t="shared" si="54"/>
        <v>6745044149076</v>
      </c>
      <c r="G902" s="21">
        <f t="shared" si="55"/>
        <v>10535428948</v>
      </c>
      <c r="H902" s="22">
        <f t="shared" si="56"/>
        <v>0.30662133789155632</v>
      </c>
      <c r="I902" s="10"/>
    </row>
    <row r="903" spans="2:9" x14ac:dyDescent="0.25">
      <c r="B903" s="10"/>
      <c r="C903" s="10"/>
      <c r="D903" s="18">
        <v>886</v>
      </c>
      <c r="E903" s="21">
        <f t="shared" si="57"/>
        <v>10535428948</v>
      </c>
      <c r="F903" s="21">
        <f t="shared" si="54"/>
        <v>5425745908221</v>
      </c>
      <c r="G903" s="21">
        <f t="shared" si="55"/>
        <v>31266984445</v>
      </c>
      <c r="H903" s="22">
        <f t="shared" si="56"/>
        <v>0.90998901418060996</v>
      </c>
      <c r="I903" s="10"/>
    </row>
    <row r="904" spans="2:9" x14ac:dyDescent="0.25">
      <c r="B904" s="10"/>
      <c r="C904" s="10"/>
      <c r="D904" s="18">
        <v>887</v>
      </c>
      <c r="E904" s="21">
        <f t="shared" si="57"/>
        <v>31266984445</v>
      </c>
      <c r="F904" s="21">
        <f t="shared" si="54"/>
        <v>16102496989176</v>
      </c>
      <c r="G904" s="21">
        <f t="shared" si="55"/>
        <v>22139432952</v>
      </c>
      <c r="H904" s="22">
        <f t="shared" si="56"/>
        <v>0.64434230304323137</v>
      </c>
      <c r="I904" s="10"/>
    </row>
    <row r="905" spans="2:9" x14ac:dyDescent="0.25">
      <c r="B905" s="10"/>
      <c r="C905" s="10"/>
      <c r="D905" s="18">
        <v>888</v>
      </c>
      <c r="E905" s="21">
        <f t="shared" si="57"/>
        <v>22139432952</v>
      </c>
      <c r="F905" s="21">
        <f t="shared" si="54"/>
        <v>11401807970281</v>
      </c>
      <c r="G905" s="21">
        <f t="shared" si="55"/>
        <v>28734570473</v>
      </c>
      <c r="H905" s="22">
        <f t="shared" si="56"/>
        <v>0.83628606729325838</v>
      </c>
      <c r="I905" s="10"/>
    </row>
    <row r="906" spans="2:9" x14ac:dyDescent="0.25">
      <c r="B906" s="10"/>
      <c r="C906" s="10"/>
      <c r="D906" s="18">
        <v>889</v>
      </c>
      <c r="E906" s="21">
        <f t="shared" si="57"/>
        <v>28734570473</v>
      </c>
      <c r="F906" s="21">
        <f t="shared" si="54"/>
        <v>14798303793596</v>
      </c>
      <c r="G906" s="21">
        <f t="shared" si="55"/>
        <v>23616295356</v>
      </c>
      <c r="H906" s="22">
        <f t="shared" si="56"/>
        <v>0.68732465605717152</v>
      </c>
      <c r="I906" s="10"/>
    </row>
    <row r="907" spans="2:9" x14ac:dyDescent="0.25">
      <c r="B907" s="10"/>
      <c r="C907" s="10"/>
      <c r="D907" s="18">
        <v>890</v>
      </c>
      <c r="E907" s="21">
        <f t="shared" si="57"/>
        <v>23616295356</v>
      </c>
      <c r="F907" s="21">
        <f t="shared" si="54"/>
        <v>12162392108341</v>
      </c>
      <c r="G907" s="21">
        <f t="shared" si="55"/>
        <v>33404464437</v>
      </c>
      <c r="H907" s="22">
        <f t="shared" si="56"/>
        <v>0.97219786947243847</v>
      </c>
      <c r="I907" s="10"/>
    </row>
    <row r="908" spans="2:9" x14ac:dyDescent="0.25">
      <c r="B908" s="10"/>
      <c r="C908" s="10"/>
      <c r="D908" s="18">
        <v>891</v>
      </c>
      <c r="E908" s="21">
        <f t="shared" si="57"/>
        <v>33404464437</v>
      </c>
      <c r="F908" s="21">
        <f t="shared" si="54"/>
        <v>17203299185056</v>
      </c>
      <c r="G908" s="21">
        <f t="shared" si="55"/>
        <v>23430001056</v>
      </c>
      <c r="H908" s="22">
        <f t="shared" si="56"/>
        <v>0.68190277833491564</v>
      </c>
      <c r="I908" s="10"/>
    </row>
    <row r="909" spans="2:9" x14ac:dyDescent="0.25">
      <c r="B909" s="10"/>
      <c r="C909" s="10"/>
      <c r="D909" s="18">
        <v>892</v>
      </c>
      <c r="E909" s="21">
        <f t="shared" si="57"/>
        <v>23430001056</v>
      </c>
      <c r="F909" s="21">
        <f t="shared" si="54"/>
        <v>12066450543841</v>
      </c>
      <c r="G909" s="21">
        <f t="shared" si="55"/>
        <v>6182376673</v>
      </c>
      <c r="H909" s="22">
        <f t="shared" si="56"/>
        <v>0.17993084251065738</v>
      </c>
      <c r="I909" s="10"/>
    </row>
    <row r="910" spans="2:9" x14ac:dyDescent="0.25">
      <c r="B910" s="10"/>
      <c r="C910" s="10"/>
      <c r="D910" s="18">
        <v>893</v>
      </c>
      <c r="E910" s="21">
        <f t="shared" si="57"/>
        <v>6182376673</v>
      </c>
      <c r="F910" s="21">
        <f t="shared" si="54"/>
        <v>3183923986596</v>
      </c>
      <c r="G910" s="21">
        <f t="shared" si="55"/>
        <v>22828056740</v>
      </c>
      <c r="H910" s="22">
        <f t="shared" si="56"/>
        <v>0.6643838930176571</v>
      </c>
      <c r="I910" s="10"/>
    </row>
    <row r="911" spans="2:9" x14ac:dyDescent="0.25">
      <c r="B911" s="10"/>
      <c r="C911" s="10"/>
      <c r="D911" s="18">
        <v>894</v>
      </c>
      <c r="E911" s="21">
        <f t="shared" si="57"/>
        <v>22828056740</v>
      </c>
      <c r="F911" s="21">
        <f t="shared" si="54"/>
        <v>11756449221101</v>
      </c>
      <c r="G911" s="21">
        <f t="shared" si="55"/>
        <v>5418699245</v>
      </c>
      <c r="H911" s="22">
        <f t="shared" si="56"/>
        <v>0.15770490412251092</v>
      </c>
      <c r="I911" s="10"/>
    </row>
    <row r="912" spans="2:9" x14ac:dyDescent="0.25">
      <c r="B912" s="10"/>
      <c r="C912" s="10"/>
      <c r="D912" s="18">
        <v>895</v>
      </c>
      <c r="E912" s="21">
        <f t="shared" si="57"/>
        <v>5418699245</v>
      </c>
      <c r="F912" s="21">
        <f t="shared" si="54"/>
        <v>2790630111176</v>
      </c>
      <c r="G912" s="21">
        <f t="shared" si="55"/>
        <v>7491303368</v>
      </c>
      <c r="H912" s="22">
        <f t="shared" si="56"/>
        <v>0.21802562312223017</v>
      </c>
      <c r="I912" s="10"/>
    </row>
    <row r="913" spans="2:9" x14ac:dyDescent="0.25">
      <c r="B913" s="10"/>
      <c r="C913" s="10"/>
      <c r="D913" s="18">
        <v>896</v>
      </c>
      <c r="E913" s="21">
        <f t="shared" si="57"/>
        <v>7491303368</v>
      </c>
      <c r="F913" s="21">
        <f t="shared" si="54"/>
        <v>3858021234521</v>
      </c>
      <c r="G913" s="21">
        <f t="shared" si="55"/>
        <v>9730537305</v>
      </c>
      <c r="H913" s="22">
        <f t="shared" si="56"/>
        <v>0.28319590797764249</v>
      </c>
      <c r="I913" s="10"/>
    </row>
    <row r="914" spans="2:9" x14ac:dyDescent="0.25">
      <c r="B914" s="10"/>
      <c r="C914" s="10"/>
      <c r="D914" s="18">
        <v>897</v>
      </c>
      <c r="E914" s="21">
        <f t="shared" si="57"/>
        <v>9730537305</v>
      </c>
      <c r="F914" s="21">
        <f t="shared" si="54"/>
        <v>5011226712076</v>
      </c>
      <c r="G914" s="21">
        <f t="shared" si="55"/>
        <v>29064648716</v>
      </c>
      <c r="H914" s="22">
        <f t="shared" si="56"/>
        <v>0.84589260851498693</v>
      </c>
      <c r="I914" s="10"/>
    </row>
    <row r="915" spans="2:9" x14ac:dyDescent="0.25">
      <c r="B915" s="10"/>
      <c r="C915" s="10"/>
      <c r="D915" s="18">
        <v>898</v>
      </c>
      <c r="E915" s="21">
        <f t="shared" si="57"/>
        <v>29064648716</v>
      </c>
      <c r="F915" s="21">
        <f t="shared" ref="F915:F978" si="58">E$7 * E915 + H$7</f>
        <v>14968294088741</v>
      </c>
      <c r="G915" s="21">
        <f t="shared" ref="G915:G978" si="59">MOD(F915,F$7)</f>
        <v>21807898661</v>
      </c>
      <c r="H915" s="22">
        <f t="shared" ref="H915:H978" si="60">G915/F$7</f>
        <v>0.63469338524737395</v>
      </c>
      <c r="I915" s="10"/>
    </row>
    <row r="916" spans="2:9" x14ac:dyDescent="0.25">
      <c r="B916" s="10"/>
      <c r="C916" s="10"/>
      <c r="D916" s="18">
        <v>899</v>
      </c>
      <c r="E916" s="21">
        <f t="shared" si="57"/>
        <v>21807898661</v>
      </c>
      <c r="F916" s="21">
        <f t="shared" si="58"/>
        <v>11231067810416</v>
      </c>
      <c r="G916" s="21">
        <f t="shared" si="59"/>
        <v>29793102448</v>
      </c>
      <c r="H916" s="22">
        <f t="shared" si="60"/>
        <v>0.86709340242668986</v>
      </c>
      <c r="I916" s="10"/>
    </row>
    <row r="917" spans="2:9" x14ac:dyDescent="0.25">
      <c r="B917" s="10"/>
      <c r="C917" s="10"/>
      <c r="D917" s="18">
        <v>900</v>
      </c>
      <c r="E917" s="21">
        <f t="shared" si="57"/>
        <v>29793102448</v>
      </c>
      <c r="F917" s="21">
        <f t="shared" si="58"/>
        <v>15343447760721</v>
      </c>
      <c r="G917" s="21">
        <f t="shared" si="59"/>
        <v>19004448593</v>
      </c>
      <c r="H917" s="22">
        <f t="shared" si="60"/>
        <v>0.55310224977438338</v>
      </c>
      <c r="I917" s="10"/>
    </row>
    <row r="918" spans="2:9" x14ac:dyDescent="0.25">
      <c r="B918" s="10"/>
      <c r="C918" s="10"/>
      <c r="D918" s="18">
        <v>901</v>
      </c>
      <c r="E918" s="21">
        <f t="shared" si="57"/>
        <v>19004448593</v>
      </c>
      <c r="F918" s="21">
        <f t="shared" si="58"/>
        <v>9787291025396</v>
      </c>
      <c r="G918" s="21">
        <f t="shared" si="59"/>
        <v>29125328884</v>
      </c>
      <c r="H918" s="22">
        <f t="shared" si="60"/>
        <v>0.84765863383654505</v>
      </c>
      <c r="I918" s="10"/>
    </row>
    <row r="919" spans="2:9" x14ac:dyDescent="0.25">
      <c r="B919" s="10"/>
      <c r="C919" s="10"/>
      <c r="D919" s="18">
        <v>902</v>
      </c>
      <c r="E919" s="21">
        <f t="shared" si="57"/>
        <v>29125328884</v>
      </c>
      <c r="F919" s="21">
        <f t="shared" si="58"/>
        <v>14999544375261</v>
      </c>
      <c r="G919" s="21">
        <f t="shared" si="59"/>
        <v>18698446813</v>
      </c>
      <c r="H919" s="22">
        <f t="shared" si="60"/>
        <v>0.54419642584980465</v>
      </c>
      <c r="I919" s="10"/>
    </row>
    <row r="920" spans="2:9" x14ac:dyDescent="0.25">
      <c r="B920" s="10"/>
      <c r="C920" s="10"/>
      <c r="D920" s="18">
        <v>903</v>
      </c>
      <c r="E920" s="21">
        <f t="shared" si="57"/>
        <v>18698446813</v>
      </c>
      <c r="F920" s="21">
        <f t="shared" si="58"/>
        <v>9629700108696</v>
      </c>
      <c r="G920" s="21">
        <f t="shared" si="59"/>
        <v>8973365656</v>
      </c>
      <c r="H920" s="22">
        <f t="shared" si="60"/>
        <v>0.26115931267850101</v>
      </c>
      <c r="I920" s="10"/>
    </row>
    <row r="921" spans="2:9" x14ac:dyDescent="0.25">
      <c r="B921" s="10"/>
      <c r="C921" s="10"/>
      <c r="D921" s="18">
        <v>904</v>
      </c>
      <c r="E921" s="21">
        <f t="shared" si="57"/>
        <v>8973365656</v>
      </c>
      <c r="F921" s="21">
        <f t="shared" si="58"/>
        <v>4621283312841</v>
      </c>
      <c r="G921" s="21">
        <f t="shared" si="59"/>
        <v>17078371529</v>
      </c>
      <c r="H921" s="22">
        <f t="shared" si="60"/>
        <v>0.49704602945712395</v>
      </c>
      <c r="I921" s="10"/>
    </row>
    <row r="922" spans="2:9" x14ac:dyDescent="0.25">
      <c r="B922" s="10"/>
      <c r="C922" s="10"/>
      <c r="D922" s="18">
        <v>905</v>
      </c>
      <c r="E922" s="21">
        <f t="shared" si="57"/>
        <v>17078371529</v>
      </c>
      <c r="F922" s="21">
        <f t="shared" si="58"/>
        <v>8795361337436</v>
      </c>
      <c r="G922" s="21">
        <f t="shared" si="59"/>
        <v>33628053596</v>
      </c>
      <c r="H922" s="22">
        <f t="shared" si="60"/>
        <v>0.97870517044793814</v>
      </c>
      <c r="I922" s="10"/>
    </row>
    <row r="923" spans="2:9" x14ac:dyDescent="0.25">
      <c r="B923" s="10"/>
      <c r="C923" s="10"/>
      <c r="D923" s="18">
        <v>906</v>
      </c>
      <c r="E923" s="21">
        <f t="shared" si="57"/>
        <v>33628053596</v>
      </c>
      <c r="F923" s="21">
        <f t="shared" si="58"/>
        <v>17318447601941</v>
      </c>
      <c r="G923" s="21">
        <f t="shared" si="59"/>
        <v>1139464469</v>
      </c>
      <c r="H923" s="22">
        <f t="shared" si="60"/>
        <v>3.3162780717248097E-2</v>
      </c>
      <c r="I923" s="10"/>
    </row>
    <row r="924" spans="2:9" x14ac:dyDescent="0.25">
      <c r="B924" s="10"/>
      <c r="C924" s="10"/>
      <c r="D924" s="18">
        <v>907</v>
      </c>
      <c r="E924" s="21">
        <f t="shared" si="57"/>
        <v>1139464469</v>
      </c>
      <c r="F924" s="21">
        <f t="shared" si="58"/>
        <v>586824201536</v>
      </c>
      <c r="G924" s="21">
        <f t="shared" si="59"/>
        <v>2708649280</v>
      </c>
      <c r="H924" s="22">
        <f t="shared" si="60"/>
        <v>7.8832069411873817E-2</v>
      </c>
      <c r="I924" s="10"/>
    </row>
    <row r="925" spans="2:9" x14ac:dyDescent="0.25">
      <c r="B925" s="10"/>
      <c r="C925" s="10"/>
      <c r="D925" s="18">
        <v>908</v>
      </c>
      <c r="E925" s="21">
        <f t="shared" si="57"/>
        <v>2708649280</v>
      </c>
      <c r="F925" s="21">
        <f t="shared" si="58"/>
        <v>1394954379201</v>
      </c>
      <c r="G925" s="21">
        <f t="shared" si="59"/>
        <v>20564844481</v>
      </c>
      <c r="H925" s="22">
        <f t="shared" si="60"/>
        <v>0.59851574714411981</v>
      </c>
      <c r="I925" s="10"/>
    </row>
    <row r="926" spans="2:9" x14ac:dyDescent="0.25">
      <c r="B926" s="10"/>
      <c r="C926" s="10"/>
      <c r="D926" s="18">
        <v>909</v>
      </c>
      <c r="E926" s="21">
        <f t="shared" si="57"/>
        <v>20564844481</v>
      </c>
      <c r="F926" s="21">
        <f t="shared" si="58"/>
        <v>10590894907716</v>
      </c>
      <c r="G926" s="21">
        <f t="shared" si="59"/>
        <v>8095490372</v>
      </c>
      <c r="H926" s="22">
        <f t="shared" si="60"/>
        <v>0.23560977925080806</v>
      </c>
      <c r="I926" s="10"/>
    </row>
    <row r="927" spans="2:9" x14ac:dyDescent="0.25">
      <c r="B927" s="10"/>
      <c r="C927" s="10"/>
      <c r="D927" s="18">
        <v>910</v>
      </c>
      <c r="E927" s="21">
        <f t="shared" si="57"/>
        <v>8095490372</v>
      </c>
      <c r="F927" s="21">
        <f t="shared" si="58"/>
        <v>4169177541581</v>
      </c>
      <c r="G927" s="21">
        <f t="shared" si="59"/>
        <v>11649199053</v>
      </c>
      <c r="H927" s="22">
        <f t="shared" si="60"/>
        <v>0.33903631419525482</v>
      </c>
      <c r="I927" s="10"/>
    </row>
    <row r="928" spans="2:9" x14ac:dyDescent="0.25">
      <c r="B928" s="10"/>
      <c r="C928" s="10"/>
      <c r="D928" s="18">
        <v>911</v>
      </c>
      <c r="E928" s="21">
        <f t="shared" si="57"/>
        <v>11649199053</v>
      </c>
      <c r="F928" s="21">
        <f t="shared" si="58"/>
        <v>5999337512296</v>
      </c>
      <c r="G928" s="21">
        <f t="shared" si="59"/>
        <v>20743036264</v>
      </c>
      <c r="H928" s="22">
        <f t="shared" si="60"/>
        <v>0.6037018105853349</v>
      </c>
      <c r="I928" s="10"/>
    </row>
    <row r="929" spans="2:9" x14ac:dyDescent="0.25">
      <c r="B929" s="10"/>
      <c r="C929" s="10"/>
      <c r="D929" s="18">
        <v>912</v>
      </c>
      <c r="E929" s="21">
        <f t="shared" si="57"/>
        <v>20743036264</v>
      </c>
      <c r="F929" s="21">
        <f t="shared" si="58"/>
        <v>10682663675961</v>
      </c>
      <c r="G929" s="21">
        <f t="shared" si="59"/>
        <v>31144781881</v>
      </c>
      <c r="H929" s="22">
        <f t="shared" si="60"/>
        <v>0.90643245147657581</v>
      </c>
      <c r="I929" s="10"/>
    </row>
    <row r="930" spans="2:9" x14ac:dyDescent="0.25">
      <c r="B930" s="10"/>
      <c r="C930" s="10"/>
      <c r="D930" s="18">
        <v>913</v>
      </c>
      <c r="E930" s="21">
        <f t="shared" si="57"/>
        <v>31144781881</v>
      </c>
      <c r="F930" s="21">
        <f t="shared" si="58"/>
        <v>16039562668716</v>
      </c>
      <c r="G930" s="21">
        <f t="shared" si="59"/>
        <v>27924589228</v>
      </c>
      <c r="H930" s="22">
        <f t="shared" si="60"/>
        <v>0.8127125104656443</v>
      </c>
      <c r="I930" s="10"/>
    </row>
    <row r="931" spans="2:9" x14ac:dyDescent="0.25">
      <c r="B931" s="10"/>
      <c r="C931" s="10"/>
      <c r="D931" s="18">
        <v>914</v>
      </c>
      <c r="E931" s="21">
        <f t="shared" si="57"/>
        <v>27924589228</v>
      </c>
      <c r="F931" s="21">
        <f t="shared" si="58"/>
        <v>14381163452421</v>
      </c>
      <c r="G931" s="21">
        <f t="shared" si="59"/>
        <v>18792814597</v>
      </c>
      <c r="H931" s="22">
        <f t="shared" si="60"/>
        <v>0.54694288983591832</v>
      </c>
      <c r="I931" s="10"/>
    </row>
    <row r="932" spans="2:9" x14ac:dyDescent="0.25">
      <c r="B932" s="10"/>
      <c r="C932" s="10"/>
      <c r="D932" s="18">
        <v>915</v>
      </c>
      <c r="E932" s="21">
        <f t="shared" si="57"/>
        <v>18792814597</v>
      </c>
      <c r="F932" s="21">
        <f t="shared" si="58"/>
        <v>9678299517456</v>
      </c>
      <c r="G932" s="21">
        <f t="shared" si="59"/>
        <v>23213036048</v>
      </c>
      <c r="H932" s="22">
        <f t="shared" si="60"/>
        <v>0.67558826552703977</v>
      </c>
      <c r="I932" s="10"/>
    </row>
    <row r="933" spans="2:9" x14ac:dyDescent="0.25">
      <c r="B933" s="10"/>
      <c r="C933" s="10"/>
      <c r="D933" s="18">
        <v>916</v>
      </c>
      <c r="E933" s="21">
        <f t="shared" si="57"/>
        <v>23213036048</v>
      </c>
      <c r="F933" s="21">
        <f t="shared" si="58"/>
        <v>11954713564721</v>
      </c>
      <c r="G933" s="21">
        <f t="shared" si="59"/>
        <v>31884351025</v>
      </c>
      <c r="H933" s="22">
        <f t="shared" si="60"/>
        <v>0.92795674645458348</v>
      </c>
      <c r="I933" s="10"/>
    </row>
    <row r="934" spans="2:9" x14ac:dyDescent="0.25">
      <c r="B934" s="10"/>
      <c r="C934" s="10"/>
      <c r="D934" s="18">
        <v>917</v>
      </c>
      <c r="E934" s="21">
        <f t="shared" si="57"/>
        <v>31884351025</v>
      </c>
      <c r="F934" s="21">
        <f t="shared" si="58"/>
        <v>16420440777876</v>
      </c>
      <c r="G934" s="21">
        <f t="shared" si="59"/>
        <v>30845576340</v>
      </c>
      <c r="H934" s="22">
        <f t="shared" si="60"/>
        <v>0.89772442413959652</v>
      </c>
      <c r="I934" s="10"/>
    </row>
    <row r="935" spans="2:9" x14ac:dyDescent="0.25">
      <c r="B935" s="10"/>
      <c r="C935" s="10"/>
      <c r="D935" s="18">
        <v>918</v>
      </c>
      <c r="E935" s="21">
        <f t="shared" si="57"/>
        <v>30845576340</v>
      </c>
      <c r="F935" s="21">
        <f t="shared" si="58"/>
        <v>15885471815101</v>
      </c>
      <c r="G935" s="21">
        <f t="shared" si="59"/>
        <v>11272689085</v>
      </c>
      <c r="H935" s="22">
        <f t="shared" si="60"/>
        <v>0.32807843192131259</v>
      </c>
      <c r="I935" s="10"/>
    </row>
    <row r="936" spans="2:9" x14ac:dyDescent="0.25">
      <c r="B936" s="10"/>
      <c r="C936" s="10"/>
      <c r="D936" s="18">
        <v>919</v>
      </c>
      <c r="E936" s="21">
        <f t="shared" si="57"/>
        <v>11272689085</v>
      </c>
      <c r="F936" s="21">
        <f t="shared" si="58"/>
        <v>5805434878776</v>
      </c>
      <c r="G936" s="21">
        <f t="shared" si="59"/>
        <v>32998832952</v>
      </c>
      <c r="H936" s="22">
        <f t="shared" si="60"/>
        <v>0.96039243950508535</v>
      </c>
      <c r="I936" s="10"/>
    </row>
    <row r="937" spans="2:9" x14ac:dyDescent="0.25">
      <c r="B937" s="10"/>
      <c r="C937" s="10"/>
      <c r="D937" s="18">
        <v>920</v>
      </c>
      <c r="E937" s="21">
        <f t="shared" si="57"/>
        <v>32998832952</v>
      </c>
      <c r="F937" s="21">
        <f t="shared" si="58"/>
        <v>16994398970281</v>
      </c>
      <c r="G937" s="21">
        <f t="shared" si="59"/>
        <v>20688216489</v>
      </c>
      <c r="H937" s="22">
        <f t="shared" si="60"/>
        <v>0.60210634514805861</v>
      </c>
      <c r="I937" s="10"/>
    </row>
    <row r="938" spans="2:9" x14ac:dyDescent="0.25">
      <c r="B938" s="10"/>
      <c r="C938" s="10"/>
      <c r="D938" s="18">
        <v>921</v>
      </c>
      <c r="E938" s="21">
        <f t="shared" si="57"/>
        <v>20688216489</v>
      </c>
      <c r="F938" s="21">
        <f t="shared" si="58"/>
        <v>10654431491836</v>
      </c>
      <c r="G938" s="21">
        <f t="shared" si="59"/>
        <v>2912597756</v>
      </c>
      <c r="H938" s="22">
        <f t="shared" si="60"/>
        <v>8.476775127928704E-2</v>
      </c>
      <c r="I938" s="10"/>
    </row>
    <row r="939" spans="2:9" x14ac:dyDescent="0.25">
      <c r="B939" s="10"/>
      <c r="C939" s="10"/>
      <c r="D939" s="18">
        <v>922</v>
      </c>
      <c r="E939" s="21">
        <f t="shared" si="57"/>
        <v>2912597756</v>
      </c>
      <c r="F939" s="21">
        <f t="shared" si="58"/>
        <v>1499987844341</v>
      </c>
      <c r="G939" s="21">
        <f t="shared" si="59"/>
        <v>22519094517</v>
      </c>
      <c r="H939" s="22">
        <f t="shared" si="60"/>
        <v>0.65539190886192955</v>
      </c>
      <c r="I939" s="10"/>
    </row>
    <row r="940" spans="2:9" x14ac:dyDescent="0.25">
      <c r="B940" s="10"/>
      <c r="C940" s="10"/>
      <c r="D940" s="18">
        <v>923</v>
      </c>
      <c r="E940" s="21">
        <f t="shared" si="57"/>
        <v>22519094517</v>
      </c>
      <c r="F940" s="21">
        <f t="shared" si="58"/>
        <v>11597333676256</v>
      </c>
      <c r="G940" s="21">
        <f t="shared" si="59"/>
        <v>18101846240</v>
      </c>
      <c r="H940" s="22">
        <f t="shared" si="60"/>
        <v>0.52683306392282248</v>
      </c>
      <c r="I940" s="10"/>
    </row>
    <row r="941" spans="2:9" x14ac:dyDescent="0.25">
      <c r="B941" s="10"/>
      <c r="C941" s="10"/>
      <c r="D941" s="18">
        <v>924</v>
      </c>
      <c r="E941" s="21">
        <f t="shared" si="57"/>
        <v>18101846240</v>
      </c>
      <c r="F941" s="21">
        <f t="shared" si="58"/>
        <v>9322450813601</v>
      </c>
      <c r="G941" s="21">
        <f t="shared" si="59"/>
        <v>10961715873</v>
      </c>
      <c r="H941" s="22">
        <f t="shared" si="60"/>
        <v>0.31902792028267868</v>
      </c>
      <c r="I941" s="10"/>
    </row>
    <row r="942" spans="2:9" x14ac:dyDescent="0.25">
      <c r="B942" s="10"/>
      <c r="C942" s="10"/>
      <c r="D942" s="18">
        <v>925</v>
      </c>
      <c r="E942" s="21">
        <f t="shared" si="57"/>
        <v>10961715873</v>
      </c>
      <c r="F942" s="21">
        <f t="shared" si="58"/>
        <v>5645283674596</v>
      </c>
      <c r="G942" s="21">
        <f t="shared" si="59"/>
        <v>10286582244</v>
      </c>
      <c r="H942" s="22">
        <f t="shared" si="60"/>
        <v>0.29937894560862333</v>
      </c>
      <c r="I942" s="10"/>
    </row>
    <row r="943" spans="2:9" x14ac:dyDescent="0.25">
      <c r="B943" s="10"/>
      <c r="C943" s="10"/>
      <c r="D943" s="18">
        <v>926</v>
      </c>
      <c r="E943" s="21">
        <f t="shared" si="57"/>
        <v>10286582244</v>
      </c>
      <c r="F943" s="21">
        <f t="shared" si="58"/>
        <v>5297589855661</v>
      </c>
      <c r="G943" s="21">
        <f t="shared" si="59"/>
        <v>6190146989</v>
      </c>
      <c r="H943" s="22">
        <f t="shared" si="60"/>
        <v>0.18015698847011663</v>
      </c>
      <c r="I943" s="10"/>
    </row>
    <row r="944" spans="2:9" x14ac:dyDescent="0.25">
      <c r="B944" s="10"/>
      <c r="C944" s="10"/>
      <c r="D944" s="18">
        <v>927</v>
      </c>
      <c r="E944" s="21">
        <f t="shared" si="57"/>
        <v>6190146989</v>
      </c>
      <c r="F944" s="21">
        <f t="shared" si="58"/>
        <v>3187925699336</v>
      </c>
      <c r="G944" s="21">
        <f t="shared" si="59"/>
        <v>26829769480</v>
      </c>
      <c r="H944" s="22">
        <f t="shared" si="60"/>
        <v>0.78084906213916838</v>
      </c>
      <c r="I944" s="10"/>
    </row>
    <row r="945" spans="2:9" x14ac:dyDescent="0.25">
      <c r="B945" s="10"/>
      <c r="C945" s="10"/>
      <c r="D945" s="18">
        <v>928</v>
      </c>
      <c r="E945" s="21">
        <f t="shared" si="57"/>
        <v>26829769480</v>
      </c>
      <c r="F945" s="21">
        <f t="shared" si="58"/>
        <v>13817331282201</v>
      </c>
      <c r="G945" s="21">
        <f t="shared" si="59"/>
        <v>4716458265</v>
      </c>
      <c r="H945" s="22">
        <f t="shared" si="60"/>
        <v>0.1372670017008204</v>
      </c>
      <c r="I945" s="10"/>
    </row>
    <row r="946" spans="2:9" x14ac:dyDescent="0.25">
      <c r="B946" s="10"/>
      <c r="C946" s="10"/>
      <c r="D946" s="18">
        <v>929</v>
      </c>
      <c r="E946" s="21">
        <f t="shared" si="57"/>
        <v>4716458265</v>
      </c>
      <c r="F946" s="21">
        <f t="shared" si="58"/>
        <v>2428976006476</v>
      </c>
      <c r="G946" s="21">
        <f t="shared" si="59"/>
        <v>23794320716</v>
      </c>
      <c r="H946" s="22">
        <f t="shared" si="60"/>
        <v>0.69250587595161051</v>
      </c>
      <c r="I946" s="10"/>
    </row>
    <row r="947" spans="2:9" x14ac:dyDescent="0.25">
      <c r="B947" s="10"/>
      <c r="C947" s="10"/>
      <c r="D947" s="18">
        <v>930</v>
      </c>
      <c r="E947" s="21">
        <f t="shared" si="57"/>
        <v>23794320716</v>
      </c>
      <c r="F947" s="21">
        <f t="shared" si="58"/>
        <v>12254075168741</v>
      </c>
      <c r="G947" s="21">
        <f t="shared" si="59"/>
        <v>22008309733</v>
      </c>
      <c r="H947" s="22">
        <f t="shared" si="60"/>
        <v>0.6405261151085142</v>
      </c>
      <c r="I947" s="10"/>
    </row>
    <row r="948" spans="2:9" x14ac:dyDescent="0.25">
      <c r="B948" s="10"/>
      <c r="C948" s="10"/>
      <c r="D948" s="18">
        <v>931</v>
      </c>
      <c r="E948" s="21">
        <f t="shared" si="57"/>
        <v>22008309733</v>
      </c>
      <c r="F948" s="21">
        <f t="shared" si="58"/>
        <v>11334279512496</v>
      </c>
      <c r="G948" s="21">
        <f t="shared" si="59"/>
        <v>29925589424</v>
      </c>
      <c r="H948" s="22">
        <f t="shared" si="60"/>
        <v>0.87094928091391921</v>
      </c>
      <c r="I948" s="10"/>
    </row>
    <row r="949" spans="2:9" x14ac:dyDescent="0.25">
      <c r="B949" s="10"/>
      <c r="C949" s="10"/>
      <c r="D949" s="18">
        <v>932</v>
      </c>
      <c r="E949" s="21">
        <f t="shared" si="57"/>
        <v>29925589424</v>
      </c>
      <c r="F949" s="21">
        <f t="shared" si="58"/>
        <v>15411678553361</v>
      </c>
      <c r="G949" s="21">
        <f t="shared" si="59"/>
        <v>18515764497</v>
      </c>
      <c r="H949" s="22">
        <f t="shared" si="60"/>
        <v>0.5388796706974972</v>
      </c>
      <c r="I949" s="10"/>
    </row>
    <row r="950" spans="2:9" x14ac:dyDescent="0.25">
      <c r="B950" s="10"/>
      <c r="C950" s="10"/>
      <c r="D950" s="18">
        <v>933</v>
      </c>
      <c r="E950" s="21">
        <f t="shared" ref="E950:E1013" si="61">G949</f>
        <v>18515764497</v>
      </c>
      <c r="F950" s="21">
        <f t="shared" si="58"/>
        <v>9535618715956</v>
      </c>
      <c r="G950" s="21">
        <f t="shared" si="59"/>
        <v>17971188020</v>
      </c>
      <c r="H950" s="22">
        <f t="shared" si="60"/>
        <v>0.52303040924016386</v>
      </c>
      <c r="I950" s="10"/>
    </row>
    <row r="951" spans="2:9" x14ac:dyDescent="0.25">
      <c r="B951" s="10"/>
      <c r="C951" s="10"/>
      <c r="D951" s="18">
        <v>934</v>
      </c>
      <c r="E951" s="21">
        <f t="shared" si="61"/>
        <v>17971188020</v>
      </c>
      <c r="F951" s="21">
        <f t="shared" si="58"/>
        <v>9255161830301</v>
      </c>
      <c r="G951" s="21">
        <f t="shared" si="59"/>
        <v>12392209309</v>
      </c>
      <c r="H951" s="22">
        <f t="shared" si="60"/>
        <v>0.36066075871349312</v>
      </c>
      <c r="I951" s="10"/>
    </row>
    <row r="952" spans="2:9" x14ac:dyDescent="0.25">
      <c r="B952" s="10"/>
      <c r="C952" s="10"/>
      <c r="D952" s="18">
        <v>935</v>
      </c>
      <c r="E952" s="21">
        <f t="shared" si="61"/>
        <v>12392209309</v>
      </c>
      <c r="F952" s="21">
        <f t="shared" si="58"/>
        <v>6381987794136</v>
      </c>
      <c r="G952" s="21">
        <f t="shared" si="59"/>
        <v>25436196056</v>
      </c>
      <c r="H952" s="22">
        <f t="shared" si="60"/>
        <v>0.74029073747806251</v>
      </c>
      <c r="I952" s="10"/>
    </row>
    <row r="953" spans="2:9" x14ac:dyDescent="0.25">
      <c r="B953" s="10"/>
      <c r="C953" s="10"/>
      <c r="D953" s="18">
        <v>936</v>
      </c>
      <c r="E953" s="21">
        <f t="shared" si="61"/>
        <v>25436196056</v>
      </c>
      <c r="F953" s="21">
        <f t="shared" si="58"/>
        <v>13099640968841</v>
      </c>
      <c r="G953" s="21">
        <f t="shared" si="59"/>
        <v>8580650633</v>
      </c>
      <c r="H953" s="22">
        <f t="shared" si="60"/>
        <v>0.24972980123129673</v>
      </c>
      <c r="I953" s="10"/>
    </row>
    <row r="954" spans="2:9" x14ac:dyDescent="0.25">
      <c r="B954" s="10"/>
      <c r="C954" s="10"/>
      <c r="D954" s="18">
        <v>937</v>
      </c>
      <c r="E954" s="21">
        <f t="shared" si="61"/>
        <v>8580650633</v>
      </c>
      <c r="F954" s="21">
        <f t="shared" si="58"/>
        <v>4419035075996</v>
      </c>
      <c r="G954" s="21">
        <f t="shared" si="59"/>
        <v>20988564892</v>
      </c>
      <c r="H954" s="22">
        <f t="shared" si="60"/>
        <v>0.61084763414692134</v>
      </c>
      <c r="I954" s="10"/>
    </row>
    <row r="955" spans="2:9" x14ac:dyDescent="0.25">
      <c r="B955" s="10"/>
      <c r="C955" s="10"/>
      <c r="D955" s="18">
        <v>938</v>
      </c>
      <c r="E955" s="21">
        <f t="shared" si="61"/>
        <v>20988564892</v>
      </c>
      <c r="F955" s="21">
        <f t="shared" si="58"/>
        <v>10809110919381</v>
      </c>
      <c r="G955" s="21">
        <f t="shared" si="59"/>
        <v>20153071829</v>
      </c>
      <c r="H955" s="22">
        <f t="shared" si="60"/>
        <v>0.58653158569359221</v>
      </c>
      <c r="I955" s="10"/>
    </row>
    <row r="956" spans="2:9" x14ac:dyDescent="0.25">
      <c r="B956" s="10"/>
      <c r="C956" s="10"/>
      <c r="D956" s="18">
        <v>939</v>
      </c>
      <c r="E956" s="21">
        <f t="shared" si="61"/>
        <v>20153071829</v>
      </c>
      <c r="F956" s="21">
        <f t="shared" si="58"/>
        <v>10378831991936</v>
      </c>
      <c r="G956" s="21">
        <f t="shared" si="59"/>
        <v>2191004800</v>
      </c>
      <c r="H956" s="22">
        <f t="shared" si="60"/>
        <v>6.3766632229089737E-2</v>
      </c>
      <c r="I956" s="10"/>
    </row>
    <row r="957" spans="2:9" x14ac:dyDescent="0.25">
      <c r="B957" s="10"/>
      <c r="C957" s="10"/>
      <c r="D957" s="18">
        <v>940</v>
      </c>
      <c r="E957" s="21">
        <f t="shared" si="61"/>
        <v>2191004800</v>
      </c>
      <c r="F957" s="21">
        <f t="shared" si="58"/>
        <v>1128367472001</v>
      </c>
      <c r="G957" s="21">
        <f t="shared" si="59"/>
        <v>28855844225</v>
      </c>
      <c r="H957" s="22">
        <f t="shared" si="60"/>
        <v>0.83981559801031835</v>
      </c>
      <c r="I957" s="10"/>
    </row>
    <row r="958" spans="2:9" x14ac:dyDescent="0.25">
      <c r="B958" s="10"/>
      <c r="C958" s="10"/>
      <c r="D958" s="18">
        <v>941</v>
      </c>
      <c r="E958" s="21">
        <f t="shared" si="61"/>
        <v>28855844225</v>
      </c>
      <c r="F958" s="21">
        <f t="shared" si="58"/>
        <v>14860759775876</v>
      </c>
      <c r="G958" s="21">
        <f t="shared" si="59"/>
        <v>17352800900</v>
      </c>
      <c r="H958" s="22">
        <f t="shared" si="60"/>
        <v>0.50503297534305602</v>
      </c>
      <c r="I958" s="10"/>
    </row>
    <row r="959" spans="2:9" x14ac:dyDescent="0.25">
      <c r="B959" s="10"/>
      <c r="C959" s="10"/>
      <c r="D959" s="18">
        <v>942</v>
      </c>
      <c r="E959" s="21">
        <f t="shared" si="61"/>
        <v>17352800900</v>
      </c>
      <c r="F959" s="21">
        <f t="shared" si="58"/>
        <v>8936692463501</v>
      </c>
      <c r="G959" s="21">
        <f t="shared" si="59"/>
        <v>3160487821</v>
      </c>
      <c r="H959" s="22">
        <f t="shared" si="60"/>
        <v>9.1982301702955738E-2</v>
      </c>
      <c r="I959" s="10"/>
    </row>
    <row r="960" spans="2:9" x14ac:dyDescent="0.25">
      <c r="B960" s="10"/>
      <c r="C960" s="10"/>
      <c r="D960" s="18">
        <v>943</v>
      </c>
      <c r="E960" s="21">
        <f t="shared" si="61"/>
        <v>3160487821</v>
      </c>
      <c r="F960" s="21">
        <f t="shared" si="58"/>
        <v>1627651227816</v>
      </c>
      <c r="G960" s="21">
        <f t="shared" si="59"/>
        <v>12743524520</v>
      </c>
      <c r="H960" s="22">
        <f t="shared" si="60"/>
        <v>0.37088537705130875</v>
      </c>
      <c r="I960" s="10"/>
    </row>
    <row r="961" spans="2:9" x14ac:dyDescent="0.25">
      <c r="B961" s="10"/>
      <c r="C961" s="10"/>
      <c r="D961" s="18">
        <v>944</v>
      </c>
      <c r="E961" s="21">
        <f t="shared" si="61"/>
        <v>12743524520</v>
      </c>
      <c r="F961" s="21">
        <f t="shared" si="58"/>
        <v>6562915127801</v>
      </c>
      <c r="G961" s="21">
        <f t="shared" si="59"/>
        <v>205099513</v>
      </c>
      <c r="H961" s="22">
        <f t="shared" si="60"/>
        <v>5.9691814531106502E-3</v>
      </c>
      <c r="I961" s="10"/>
    </row>
    <row r="962" spans="2:9" x14ac:dyDescent="0.25">
      <c r="B962" s="10"/>
      <c r="C962" s="10"/>
      <c r="D962" s="18">
        <v>945</v>
      </c>
      <c r="E962" s="21">
        <f t="shared" si="61"/>
        <v>205099513</v>
      </c>
      <c r="F962" s="21">
        <f t="shared" si="58"/>
        <v>105626249196</v>
      </c>
      <c r="G962" s="21">
        <f t="shared" si="59"/>
        <v>2547034092</v>
      </c>
      <c r="H962" s="22">
        <f t="shared" si="60"/>
        <v>7.4128448381088674E-2</v>
      </c>
      <c r="I962" s="10"/>
    </row>
    <row r="963" spans="2:9" x14ac:dyDescent="0.25">
      <c r="B963" s="10"/>
      <c r="C963" s="10"/>
      <c r="D963" s="18">
        <v>946</v>
      </c>
      <c r="E963" s="21">
        <f t="shared" si="61"/>
        <v>2547034092</v>
      </c>
      <c r="F963" s="21">
        <f t="shared" si="58"/>
        <v>1311722557381</v>
      </c>
      <c r="G963" s="21">
        <f t="shared" si="59"/>
        <v>6052499397</v>
      </c>
      <c r="H963" s="22">
        <f t="shared" si="60"/>
        <v>0.17615091628977098</v>
      </c>
      <c r="I963" s="10"/>
    </row>
    <row r="964" spans="2:9" x14ac:dyDescent="0.25">
      <c r="B964" s="10"/>
      <c r="C964" s="10"/>
      <c r="D964" s="18">
        <v>947</v>
      </c>
      <c r="E964" s="21">
        <f t="shared" si="61"/>
        <v>6052499397</v>
      </c>
      <c r="F964" s="21">
        <f t="shared" si="58"/>
        <v>3117037189456</v>
      </c>
      <c r="G964" s="21">
        <f t="shared" si="59"/>
        <v>24660736336</v>
      </c>
      <c r="H964" s="22">
        <f t="shared" si="60"/>
        <v>0.71772188926115632</v>
      </c>
      <c r="I964" s="10"/>
    </row>
    <row r="965" spans="2:9" x14ac:dyDescent="0.25">
      <c r="B965" s="10"/>
      <c r="C965" s="10"/>
      <c r="D965" s="18">
        <v>948</v>
      </c>
      <c r="E965" s="21">
        <f t="shared" si="61"/>
        <v>24660736336</v>
      </c>
      <c r="F965" s="21">
        <f t="shared" si="58"/>
        <v>12700279213041</v>
      </c>
      <c r="G965" s="21">
        <f t="shared" si="59"/>
        <v>21535755249</v>
      </c>
      <c r="H965" s="22">
        <f t="shared" si="60"/>
        <v>0.62677296952460892</v>
      </c>
      <c r="I965" s="10"/>
    </row>
    <row r="966" spans="2:9" x14ac:dyDescent="0.25">
      <c r="B966" s="10"/>
      <c r="C966" s="10"/>
      <c r="D966" s="18">
        <v>949</v>
      </c>
      <c r="E966" s="21">
        <f t="shared" si="61"/>
        <v>21535755249</v>
      </c>
      <c r="F966" s="21">
        <f t="shared" si="58"/>
        <v>11090913953236</v>
      </c>
      <c r="G966" s="21">
        <f t="shared" si="59"/>
        <v>27078198740</v>
      </c>
      <c r="H966" s="22">
        <f t="shared" si="60"/>
        <v>0.7880793052027002</v>
      </c>
      <c r="I966" s="10"/>
    </row>
    <row r="967" spans="2:9" x14ac:dyDescent="0.25">
      <c r="B967" s="10"/>
      <c r="C967" s="10"/>
      <c r="D967" s="18">
        <v>950</v>
      </c>
      <c r="E967" s="21">
        <f t="shared" si="61"/>
        <v>27078198740</v>
      </c>
      <c r="F967" s="21">
        <f t="shared" si="58"/>
        <v>13945272351101</v>
      </c>
      <c r="G967" s="21">
        <f t="shared" si="59"/>
        <v>29578312061</v>
      </c>
      <c r="H967" s="22">
        <f t="shared" si="60"/>
        <v>0.86084217941970564</v>
      </c>
      <c r="I967" s="10"/>
    </row>
    <row r="968" spans="2:9" x14ac:dyDescent="0.25">
      <c r="B968" s="10"/>
      <c r="C968" s="10"/>
      <c r="D968" s="18">
        <v>951</v>
      </c>
      <c r="E968" s="21">
        <f t="shared" si="61"/>
        <v>29578312061</v>
      </c>
      <c r="F968" s="21">
        <f t="shared" si="58"/>
        <v>15232830711416</v>
      </c>
      <c r="G968" s="21">
        <f t="shared" si="59"/>
        <v>11466614392</v>
      </c>
      <c r="H968" s="22">
        <f t="shared" si="60"/>
        <v>0.33372240117751062</v>
      </c>
      <c r="I968" s="10"/>
    </row>
    <row r="969" spans="2:9" x14ac:dyDescent="0.25">
      <c r="B969" s="10"/>
      <c r="C969" s="10"/>
      <c r="D969" s="18">
        <v>952</v>
      </c>
      <c r="E969" s="21">
        <f t="shared" si="61"/>
        <v>11466614392</v>
      </c>
      <c r="F969" s="21">
        <f t="shared" si="58"/>
        <v>5905306411881</v>
      </c>
      <c r="G969" s="21">
        <f t="shared" si="59"/>
        <v>29791150953</v>
      </c>
      <c r="H969" s="22">
        <f t="shared" si="60"/>
        <v>0.8670366064470727</v>
      </c>
      <c r="I969" s="10"/>
    </row>
    <row r="970" spans="2:9" x14ac:dyDescent="0.25">
      <c r="B970" s="10"/>
      <c r="C970" s="10"/>
      <c r="D970" s="18">
        <v>953</v>
      </c>
      <c r="E970" s="21">
        <f t="shared" si="61"/>
        <v>29791150953</v>
      </c>
      <c r="F970" s="21">
        <f t="shared" si="58"/>
        <v>15342442740796</v>
      </c>
      <c r="G970" s="21">
        <f t="shared" si="59"/>
        <v>17999428668</v>
      </c>
      <c r="H970" s="22">
        <f t="shared" si="60"/>
        <v>0.52385232027154416</v>
      </c>
      <c r="I970" s="10"/>
    </row>
    <row r="971" spans="2:9" x14ac:dyDescent="0.25">
      <c r="B971" s="10"/>
      <c r="C971" s="10"/>
      <c r="D971" s="18">
        <v>954</v>
      </c>
      <c r="E971" s="21">
        <f t="shared" si="61"/>
        <v>17999428668</v>
      </c>
      <c r="F971" s="21">
        <f t="shared" si="58"/>
        <v>9269705764021</v>
      </c>
      <c r="G971" s="21">
        <f t="shared" si="59"/>
        <v>26936143029</v>
      </c>
      <c r="H971" s="22">
        <f t="shared" si="60"/>
        <v>0.78394493987434544</v>
      </c>
      <c r="I971" s="10"/>
    </row>
    <row r="972" spans="2:9" x14ac:dyDescent="0.25">
      <c r="B972" s="10"/>
      <c r="C972" s="10"/>
      <c r="D972" s="18">
        <v>955</v>
      </c>
      <c r="E972" s="21">
        <f t="shared" si="61"/>
        <v>26936143029</v>
      </c>
      <c r="F972" s="21">
        <f t="shared" si="58"/>
        <v>13872113659936</v>
      </c>
      <c r="G972" s="21">
        <f t="shared" si="59"/>
        <v>25139097632</v>
      </c>
      <c r="H972" s="22">
        <f t="shared" si="60"/>
        <v>0.73164403531700373</v>
      </c>
      <c r="I972" s="10"/>
    </row>
    <row r="973" spans="2:9" x14ac:dyDescent="0.25">
      <c r="B973" s="10"/>
      <c r="C973" s="10"/>
      <c r="D973" s="18">
        <v>956</v>
      </c>
      <c r="E973" s="21">
        <f t="shared" si="61"/>
        <v>25139097632</v>
      </c>
      <c r="F973" s="21">
        <f t="shared" si="58"/>
        <v>12946635280481</v>
      </c>
      <c r="G973" s="21">
        <f t="shared" si="59"/>
        <v>27373654113</v>
      </c>
      <c r="H973" s="22">
        <f t="shared" si="60"/>
        <v>0.79667818828602321</v>
      </c>
      <c r="I973" s="10"/>
    </row>
    <row r="974" spans="2:9" x14ac:dyDescent="0.25">
      <c r="B974" s="10"/>
      <c r="C974" s="10"/>
      <c r="D974" s="18">
        <v>957</v>
      </c>
      <c r="E974" s="21">
        <f t="shared" si="61"/>
        <v>27373654113</v>
      </c>
      <c r="F974" s="21">
        <f t="shared" si="58"/>
        <v>14097431868196</v>
      </c>
      <c r="G974" s="21">
        <f t="shared" si="59"/>
        <v>9939137316</v>
      </c>
      <c r="H974" s="22">
        <f t="shared" si="60"/>
        <v>0.28926696733105928</v>
      </c>
      <c r="I974" s="10"/>
    </row>
    <row r="975" spans="2:9" x14ac:dyDescent="0.25">
      <c r="B975" s="10"/>
      <c r="C975" s="10"/>
      <c r="D975" s="18">
        <v>958</v>
      </c>
      <c r="E975" s="21">
        <f t="shared" si="61"/>
        <v>9939137316</v>
      </c>
      <c r="F975" s="21">
        <f t="shared" si="58"/>
        <v>5118655717741</v>
      </c>
      <c r="G975" s="21">
        <f t="shared" si="59"/>
        <v>33414439277</v>
      </c>
      <c r="H975" s="22">
        <f t="shared" si="60"/>
        <v>0.97248817552463152</v>
      </c>
      <c r="I975" s="10"/>
    </row>
    <row r="976" spans="2:9" x14ac:dyDescent="0.25">
      <c r="B976" s="10"/>
      <c r="C976" s="10"/>
      <c r="D976" s="18">
        <v>959</v>
      </c>
      <c r="E976" s="21">
        <f t="shared" si="61"/>
        <v>33414439277</v>
      </c>
      <c r="F976" s="21">
        <f t="shared" si="58"/>
        <v>17208436227656</v>
      </c>
      <c r="G976" s="21">
        <f t="shared" si="59"/>
        <v>28567043656</v>
      </c>
      <c r="H976" s="22">
        <f t="shared" si="60"/>
        <v>0.83141039521433413</v>
      </c>
      <c r="I976" s="10"/>
    </row>
    <row r="977" spans="2:9" x14ac:dyDescent="0.25">
      <c r="B977" s="10"/>
      <c r="C977" s="10"/>
      <c r="D977" s="18">
        <v>960</v>
      </c>
      <c r="E977" s="21">
        <f t="shared" si="61"/>
        <v>28567043656</v>
      </c>
      <c r="F977" s="21">
        <f t="shared" si="58"/>
        <v>14712027482841</v>
      </c>
      <c r="G977" s="21">
        <f t="shared" si="59"/>
        <v>6059461337</v>
      </c>
      <c r="H977" s="22">
        <f t="shared" si="60"/>
        <v>0.17635353541118093</v>
      </c>
      <c r="I977" s="10"/>
    </row>
    <row r="978" spans="2:9" x14ac:dyDescent="0.25">
      <c r="B978" s="10"/>
      <c r="C978" s="10"/>
      <c r="D978" s="18">
        <v>961</v>
      </c>
      <c r="E978" s="21">
        <f t="shared" si="61"/>
        <v>6059461337</v>
      </c>
      <c r="F978" s="21">
        <f t="shared" si="58"/>
        <v>3120622588556</v>
      </c>
      <c r="G978" s="21">
        <f t="shared" si="59"/>
        <v>28246135436</v>
      </c>
      <c r="H978" s="22">
        <f t="shared" si="60"/>
        <v>0.82207073678728193</v>
      </c>
      <c r="I978" s="10"/>
    </row>
    <row r="979" spans="2:9" x14ac:dyDescent="0.25">
      <c r="B979" s="10"/>
      <c r="C979" s="10"/>
      <c r="D979" s="18">
        <v>962</v>
      </c>
      <c r="E979" s="21">
        <f t="shared" si="61"/>
        <v>28246135436</v>
      </c>
      <c r="F979" s="21">
        <f t="shared" ref="F979:F1042" si="62">E$7 * E979 + H$7</f>
        <v>14546759749541</v>
      </c>
      <c r="G979" s="21">
        <f t="shared" ref="G979:G1042" si="63">MOD(F979,F$7)</f>
        <v>12590419877</v>
      </c>
      <c r="H979" s="22">
        <f t="shared" ref="H979:H1042" si="64">G979/F$7</f>
        <v>0.36642944547929801</v>
      </c>
      <c r="I979" s="10"/>
    </row>
    <row r="980" spans="2:9" x14ac:dyDescent="0.25">
      <c r="B980" s="10"/>
      <c r="C980" s="10"/>
      <c r="D980" s="18">
        <v>963</v>
      </c>
      <c r="E980" s="21">
        <f t="shared" si="61"/>
        <v>12590419877</v>
      </c>
      <c r="F980" s="21">
        <f t="shared" si="62"/>
        <v>6484066236656</v>
      </c>
      <c r="G980" s="21">
        <f t="shared" si="63"/>
        <v>24435423472</v>
      </c>
      <c r="H980" s="22">
        <f t="shared" si="64"/>
        <v>0.71116442186757922</v>
      </c>
      <c r="I980" s="10"/>
    </row>
    <row r="981" spans="2:9" x14ac:dyDescent="0.25">
      <c r="B981" s="10"/>
      <c r="C981" s="10"/>
      <c r="D981" s="18">
        <v>964</v>
      </c>
      <c r="E981" s="21">
        <f t="shared" si="61"/>
        <v>24435423472</v>
      </c>
      <c r="F981" s="21">
        <f t="shared" si="62"/>
        <v>12584243088081</v>
      </c>
      <c r="G981" s="21">
        <f t="shared" si="63"/>
        <v>8578845393</v>
      </c>
      <c r="H981" s="22">
        <f t="shared" si="64"/>
        <v>0.24967726183240302</v>
      </c>
      <c r="I981" s="10"/>
    </row>
    <row r="982" spans="2:9" x14ac:dyDescent="0.25">
      <c r="B982" s="10"/>
      <c r="C982" s="10"/>
      <c r="D982" s="18">
        <v>965</v>
      </c>
      <c r="E982" s="21">
        <f t="shared" si="61"/>
        <v>8578845393</v>
      </c>
      <c r="F982" s="21">
        <f t="shared" si="62"/>
        <v>4418105377396</v>
      </c>
      <c r="G982" s="21">
        <f t="shared" si="63"/>
        <v>20058866292</v>
      </c>
      <c r="H982" s="22">
        <f t="shared" si="64"/>
        <v>0.58378984371665865</v>
      </c>
      <c r="I982" s="10"/>
    </row>
    <row r="983" spans="2:9" x14ac:dyDescent="0.25">
      <c r="B983" s="10"/>
      <c r="C983" s="10"/>
      <c r="D983" s="18">
        <v>966</v>
      </c>
      <c r="E983" s="21">
        <f t="shared" si="61"/>
        <v>20058866292</v>
      </c>
      <c r="F983" s="21">
        <f t="shared" si="62"/>
        <v>10330316140381</v>
      </c>
      <c r="G983" s="21">
        <f t="shared" si="63"/>
        <v>22394629981</v>
      </c>
      <c r="H983" s="22">
        <f t="shared" si="64"/>
        <v>0.65176951410830952</v>
      </c>
      <c r="I983" s="10"/>
    </row>
    <row r="984" spans="2:9" x14ac:dyDescent="0.25">
      <c r="B984" s="10"/>
      <c r="C984" s="10"/>
      <c r="D984" s="18">
        <v>967</v>
      </c>
      <c r="E984" s="21">
        <f t="shared" si="61"/>
        <v>22394629981</v>
      </c>
      <c r="F984" s="21">
        <f t="shared" si="62"/>
        <v>11533234440216</v>
      </c>
      <c r="G984" s="21">
        <f t="shared" si="63"/>
        <v>22722086936</v>
      </c>
      <c r="H984" s="22">
        <f t="shared" si="64"/>
        <v>0.6612997658085078</v>
      </c>
      <c r="I984" s="10"/>
    </row>
    <row r="985" spans="2:9" x14ac:dyDescent="0.25">
      <c r="B985" s="10"/>
      <c r="C985" s="10"/>
      <c r="D985" s="18">
        <v>968</v>
      </c>
      <c r="E985" s="21">
        <f t="shared" si="61"/>
        <v>22722086936</v>
      </c>
      <c r="F985" s="21">
        <f t="shared" si="62"/>
        <v>11701874772041</v>
      </c>
      <c r="G985" s="21">
        <f t="shared" si="63"/>
        <v>19563726921</v>
      </c>
      <c r="H985" s="22">
        <f t="shared" si="64"/>
        <v>0.56937939141062088</v>
      </c>
      <c r="I985" s="10"/>
    </row>
    <row r="986" spans="2:9" x14ac:dyDescent="0.25">
      <c r="B986" s="10"/>
      <c r="C986" s="10"/>
      <c r="D986" s="18">
        <v>969</v>
      </c>
      <c r="E986" s="21">
        <f t="shared" si="61"/>
        <v>19563726921</v>
      </c>
      <c r="F986" s="21">
        <f t="shared" si="62"/>
        <v>10075319364316</v>
      </c>
      <c r="G986" s="21">
        <f t="shared" si="63"/>
        <v>7916022492</v>
      </c>
      <c r="H986" s="22">
        <f t="shared" si="64"/>
        <v>0.23038657649885863</v>
      </c>
      <c r="I986" s="10"/>
    </row>
    <row r="987" spans="2:9" x14ac:dyDescent="0.25">
      <c r="B987" s="10"/>
      <c r="C987" s="10"/>
      <c r="D987" s="18">
        <v>970</v>
      </c>
      <c r="E987" s="21">
        <f t="shared" si="61"/>
        <v>7916022492</v>
      </c>
      <c r="F987" s="21">
        <f t="shared" si="62"/>
        <v>4076751583381</v>
      </c>
      <c r="G987" s="21">
        <f t="shared" si="63"/>
        <v>22302455957</v>
      </c>
      <c r="H987" s="22">
        <f t="shared" si="64"/>
        <v>0.64908689694129862</v>
      </c>
      <c r="I987" s="10"/>
    </row>
    <row r="988" spans="2:9" x14ac:dyDescent="0.25">
      <c r="B988" s="10"/>
      <c r="C988" s="10"/>
      <c r="D988" s="18">
        <v>971</v>
      </c>
      <c r="E988" s="21">
        <f t="shared" si="61"/>
        <v>22302455957</v>
      </c>
      <c r="F988" s="21">
        <f t="shared" si="62"/>
        <v>11485764817856</v>
      </c>
      <c r="G988" s="21">
        <f t="shared" si="63"/>
        <v>9612202944</v>
      </c>
      <c r="H988" s="22">
        <f t="shared" si="64"/>
        <v>0.27975192479789257</v>
      </c>
      <c r="I988" s="10"/>
    </row>
    <row r="989" spans="2:9" x14ac:dyDescent="0.25">
      <c r="B989" s="10"/>
      <c r="C989" s="10"/>
      <c r="D989" s="18">
        <v>972</v>
      </c>
      <c r="E989" s="21">
        <f t="shared" si="61"/>
        <v>9612202944</v>
      </c>
      <c r="F989" s="21">
        <f t="shared" si="62"/>
        <v>4950284516161</v>
      </c>
      <c r="G989" s="21">
        <f t="shared" si="63"/>
        <v>2482191169</v>
      </c>
      <c r="H989" s="22">
        <f t="shared" si="64"/>
        <v>7.2241270943777636E-2</v>
      </c>
      <c r="I989" s="10"/>
    </row>
    <row r="990" spans="2:9" x14ac:dyDescent="0.25">
      <c r="B990" s="10"/>
      <c r="C990" s="10"/>
      <c r="D990" s="18">
        <v>973</v>
      </c>
      <c r="E990" s="21">
        <f t="shared" si="61"/>
        <v>2482191169</v>
      </c>
      <c r="F990" s="21">
        <f t="shared" si="62"/>
        <v>1278328452036</v>
      </c>
      <c r="G990" s="21">
        <f t="shared" si="63"/>
        <v>7018132420</v>
      </c>
      <c r="H990" s="22">
        <f t="shared" si="64"/>
        <v>0.20425453607458621</v>
      </c>
      <c r="I990" s="10"/>
    </row>
    <row r="991" spans="2:9" x14ac:dyDescent="0.25">
      <c r="B991" s="10"/>
      <c r="C991" s="10"/>
      <c r="D991" s="18">
        <v>974</v>
      </c>
      <c r="E991" s="21">
        <f t="shared" si="61"/>
        <v>7018132420</v>
      </c>
      <c r="F991" s="21">
        <f t="shared" si="62"/>
        <v>3614338196301</v>
      </c>
      <c r="G991" s="21">
        <f t="shared" si="63"/>
        <v>6565667661</v>
      </c>
      <c r="H991" s="22">
        <f t="shared" si="64"/>
        <v>0.19108607844100334</v>
      </c>
      <c r="I991" s="10"/>
    </row>
    <row r="992" spans="2:9" x14ac:dyDescent="0.25">
      <c r="B992" s="10"/>
      <c r="C992" s="10"/>
      <c r="D992" s="18">
        <v>975</v>
      </c>
      <c r="E992" s="21">
        <f t="shared" si="61"/>
        <v>6565667661</v>
      </c>
      <c r="F992" s="21">
        <f t="shared" si="62"/>
        <v>3381318845416</v>
      </c>
      <c r="G992" s="21">
        <f t="shared" si="63"/>
        <v>14064485352</v>
      </c>
      <c r="H992" s="22">
        <f t="shared" si="64"/>
        <v>0.40933039714582264</v>
      </c>
      <c r="I992" s="10"/>
    </row>
    <row r="993" spans="2:9" x14ac:dyDescent="0.25">
      <c r="B993" s="10"/>
      <c r="C993" s="10"/>
      <c r="D993" s="18">
        <v>976</v>
      </c>
      <c r="E993" s="21">
        <f t="shared" si="61"/>
        <v>14064485352</v>
      </c>
      <c r="F993" s="21">
        <f t="shared" si="62"/>
        <v>7243209956281</v>
      </c>
      <c r="G993" s="21">
        <f t="shared" si="63"/>
        <v>27664899001</v>
      </c>
      <c r="H993" s="22">
        <f t="shared" si="64"/>
        <v>0.80515453012776561</v>
      </c>
      <c r="I993" s="10"/>
    </row>
    <row r="994" spans="2:9" x14ac:dyDescent="0.25">
      <c r="B994" s="10"/>
      <c r="C994" s="10"/>
      <c r="D994" s="18">
        <v>977</v>
      </c>
      <c r="E994" s="21">
        <f t="shared" si="61"/>
        <v>27664899001</v>
      </c>
      <c r="F994" s="21">
        <f t="shared" si="62"/>
        <v>14247422985516</v>
      </c>
      <c r="G994" s="21">
        <f t="shared" si="63"/>
        <v>22491301164</v>
      </c>
      <c r="H994" s="22">
        <f t="shared" si="64"/>
        <v>0.6545830158283934</v>
      </c>
      <c r="I994" s="10"/>
    </row>
    <row r="995" spans="2:9" x14ac:dyDescent="0.25">
      <c r="B995" s="10"/>
      <c r="C995" s="10"/>
      <c r="D995" s="18">
        <v>978</v>
      </c>
      <c r="E995" s="21">
        <f t="shared" si="61"/>
        <v>22491301164</v>
      </c>
      <c r="F995" s="21">
        <f t="shared" si="62"/>
        <v>11583020099461</v>
      </c>
      <c r="G995" s="21">
        <f t="shared" si="63"/>
        <v>3788269445</v>
      </c>
      <c r="H995" s="22">
        <f t="shared" si="64"/>
        <v>0.11025315165170468</v>
      </c>
      <c r="I995" s="10"/>
    </row>
    <row r="996" spans="2:9" x14ac:dyDescent="0.25">
      <c r="B996" s="10"/>
      <c r="C996" s="10"/>
      <c r="D996" s="18">
        <v>979</v>
      </c>
      <c r="E996" s="21">
        <f t="shared" si="61"/>
        <v>3788269445</v>
      </c>
      <c r="F996" s="21">
        <f t="shared" si="62"/>
        <v>1950958764176</v>
      </c>
      <c r="G996" s="21">
        <f t="shared" si="63"/>
        <v>26813415568</v>
      </c>
      <c r="H996" s="22">
        <f t="shared" si="64"/>
        <v>0.78037310065701604</v>
      </c>
      <c r="I996" s="10"/>
    </row>
    <row r="997" spans="2:9" x14ac:dyDescent="0.25">
      <c r="B997" s="10"/>
      <c r="C997" s="10"/>
      <c r="D997" s="18">
        <v>980</v>
      </c>
      <c r="E997" s="21">
        <f t="shared" si="61"/>
        <v>26813415568</v>
      </c>
      <c r="F997" s="21">
        <f t="shared" si="62"/>
        <v>13808909017521</v>
      </c>
      <c r="G997" s="21">
        <f t="shared" si="63"/>
        <v>30653931953</v>
      </c>
      <c r="H997" s="22">
        <f t="shared" si="64"/>
        <v>0.89214683839236386</v>
      </c>
      <c r="I997" s="10"/>
    </row>
    <row r="998" spans="2:9" x14ac:dyDescent="0.25">
      <c r="B998" s="10"/>
      <c r="C998" s="10"/>
      <c r="D998" s="18">
        <v>981</v>
      </c>
      <c r="E998" s="21">
        <f t="shared" si="61"/>
        <v>30653931953</v>
      </c>
      <c r="F998" s="21">
        <f t="shared" si="62"/>
        <v>15786774955796</v>
      </c>
      <c r="G998" s="21">
        <f t="shared" si="63"/>
        <v>15655044884</v>
      </c>
      <c r="H998" s="22">
        <f t="shared" si="64"/>
        <v>0.45562177209649235</v>
      </c>
      <c r="I998" s="10"/>
    </row>
    <row r="999" spans="2:9" x14ac:dyDescent="0.25">
      <c r="B999" s="10"/>
      <c r="C999" s="10"/>
      <c r="D999" s="18">
        <v>982</v>
      </c>
      <c r="E999" s="21">
        <f t="shared" si="61"/>
        <v>15655044884</v>
      </c>
      <c r="F999" s="21">
        <f t="shared" si="62"/>
        <v>8062348115261</v>
      </c>
      <c r="G999" s="21">
        <f t="shared" si="63"/>
        <v>22169337149</v>
      </c>
      <c r="H999" s="22">
        <f t="shared" si="64"/>
        <v>0.64521262972266413</v>
      </c>
      <c r="I999" s="10"/>
    </row>
    <row r="1000" spans="2:9" x14ac:dyDescent="0.25">
      <c r="B1000" s="10"/>
      <c r="C1000" s="10"/>
      <c r="D1000" s="18">
        <v>983</v>
      </c>
      <c r="E1000" s="21">
        <f t="shared" si="61"/>
        <v>22169337149</v>
      </c>
      <c r="F1000" s="21">
        <f t="shared" si="62"/>
        <v>11417208631736</v>
      </c>
      <c r="G1000" s="21">
        <f t="shared" si="63"/>
        <v>9775493560</v>
      </c>
      <c r="H1000" s="22">
        <f t="shared" si="64"/>
        <v>0.28450430720113218</v>
      </c>
      <c r="I1000" s="10"/>
    </row>
    <row r="1001" spans="2:9" x14ac:dyDescent="0.25">
      <c r="B1001" s="10"/>
      <c r="C1001" s="10"/>
      <c r="D1001" s="18">
        <v>984</v>
      </c>
      <c r="E1001" s="21">
        <f t="shared" si="61"/>
        <v>9775493560</v>
      </c>
      <c r="F1001" s="21">
        <f t="shared" si="62"/>
        <v>5034379183401</v>
      </c>
      <c r="G1001" s="21">
        <f t="shared" si="63"/>
        <v>17857381673</v>
      </c>
      <c r="H1001" s="22">
        <f t="shared" si="64"/>
        <v>0.51971820861217566</v>
      </c>
      <c r="I1001" s="10"/>
    </row>
    <row r="1002" spans="2:9" x14ac:dyDescent="0.25">
      <c r="B1002" s="10"/>
      <c r="C1002" s="10"/>
      <c r="D1002" s="18">
        <v>985</v>
      </c>
      <c r="E1002" s="21">
        <f t="shared" si="61"/>
        <v>17857381673</v>
      </c>
      <c r="F1002" s="21">
        <f t="shared" si="62"/>
        <v>9196551561596</v>
      </c>
      <c r="G1002" s="21">
        <f t="shared" si="63"/>
        <v>22501417340</v>
      </c>
      <c r="H1002" s="22">
        <f t="shared" si="64"/>
        <v>0.65487743529956788</v>
      </c>
      <c r="I1002" s="10"/>
    </row>
    <row r="1003" spans="2:9" x14ac:dyDescent="0.25">
      <c r="B1003" s="10"/>
      <c r="C1003" s="10"/>
      <c r="D1003" s="18">
        <v>986</v>
      </c>
      <c r="E1003" s="21">
        <f t="shared" si="61"/>
        <v>22501417340</v>
      </c>
      <c r="F1003" s="21">
        <f t="shared" si="62"/>
        <v>11588229930101</v>
      </c>
      <c r="G1003" s="21">
        <f t="shared" si="63"/>
        <v>8998100085</v>
      </c>
      <c r="H1003" s="22">
        <f t="shared" si="64"/>
        <v>0.26187917930656113</v>
      </c>
      <c r="I1003" s="10"/>
    </row>
    <row r="1004" spans="2:9" x14ac:dyDescent="0.25">
      <c r="B1004" s="10"/>
      <c r="C1004" s="10"/>
      <c r="D1004" s="18">
        <v>987</v>
      </c>
      <c r="E1004" s="21">
        <f t="shared" si="61"/>
        <v>8998100085</v>
      </c>
      <c r="F1004" s="21">
        <f t="shared" si="62"/>
        <v>4634021543776</v>
      </c>
      <c r="G1004" s="21">
        <f t="shared" si="63"/>
        <v>29816602464</v>
      </c>
      <c r="H1004" s="22">
        <f t="shared" si="64"/>
        <v>0.86777734290808439</v>
      </c>
      <c r="I1004" s="10"/>
    </row>
    <row r="1005" spans="2:9" x14ac:dyDescent="0.25">
      <c r="B1005" s="10"/>
      <c r="C1005" s="10"/>
      <c r="D1005" s="18">
        <v>988</v>
      </c>
      <c r="E1005" s="21">
        <f t="shared" si="61"/>
        <v>29816602464</v>
      </c>
      <c r="F1005" s="21">
        <f t="shared" si="62"/>
        <v>15355550268961</v>
      </c>
      <c r="G1005" s="21">
        <f t="shared" si="63"/>
        <v>31106956833</v>
      </c>
      <c r="H1005" s="22">
        <f t="shared" si="64"/>
        <v>0.90533159769256599</v>
      </c>
      <c r="I1005" s="10"/>
    </row>
    <row r="1006" spans="2:9" x14ac:dyDescent="0.25">
      <c r="B1006" s="10"/>
      <c r="C1006" s="10"/>
      <c r="D1006" s="18">
        <v>989</v>
      </c>
      <c r="E1006" s="21">
        <f t="shared" si="61"/>
        <v>31106956833</v>
      </c>
      <c r="F1006" s="21">
        <f t="shared" si="62"/>
        <v>16020082768996</v>
      </c>
      <c r="G1006" s="21">
        <f t="shared" si="63"/>
        <v>8444689508</v>
      </c>
      <c r="H1006" s="22">
        <f t="shared" si="64"/>
        <v>0.24577281170058995</v>
      </c>
      <c r="I1006" s="10"/>
    </row>
    <row r="1007" spans="2:9" x14ac:dyDescent="0.25">
      <c r="B1007" s="10"/>
      <c r="C1007" s="10"/>
      <c r="D1007" s="18">
        <v>990</v>
      </c>
      <c r="E1007" s="21">
        <f t="shared" si="61"/>
        <v>8444689508</v>
      </c>
      <c r="F1007" s="21">
        <f t="shared" si="62"/>
        <v>4349015096621</v>
      </c>
      <c r="G1007" s="21">
        <f t="shared" si="63"/>
        <v>19688062253</v>
      </c>
      <c r="H1007" s="22">
        <f t="shared" si="64"/>
        <v>0.57299802583293058</v>
      </c>
      <c r="I1007" s="10"/>
    </row>
    <row r="1008" spans="2:9" x14ac:dyDescent="0.25">
      <c r="B1008" s="10"/>
      <c r="C1008" s="10"/>
      <c r="D1008" s="18">
        <v>991</v>
      </c>
      <c r="E1008" s="21">
        <f t="shared" si="61"/>
        <v>19688062253</v>
      </c>
      <c r="F1008" s="21">
        <f t="shared" si="62"/>
        <v>10139352060296</v>
      </c>
      <c r="G1008" s="21">
        <f t="shared" si="63"/>
        <v>3229241736</v>
      </c>
      <c r="H1008" s="22">
        <f t="shared" si="64"/>
        <v>9.3983303988352418E-2</v>
      </c>
      <c r="I1008" s="10"/>
    </row>
    <row r="1009" spans="2:9" x14ac:dyDescent="0.25">
      <c r="B1009" s="10"/>
      <c r="C1009" s="10"/>
      <c r="D1009" s="18">
        <v>992</v>
      </c>
      <c r="E1009" s="21">
        <f t="shared" si="61"/>
        <v>3229241736</v>
      </c>
      <c r="F1009" s="21">
        <f t="shared" si="62"/>
        <v>1663059494041</v>
      </c>
      <c r="G1009" s="21">
        <f t="shared" si="63"/>
        <v>13792052377</v>
      </c>
      <c r="H1009" s="22">
        <f t="shared" si="64"/>
        <v>0.40140155403059907</v>
      </c>
      <c r="I1009" s="10"/>
    </row>
    <row r="1010" spans="2:9" x14ac:dyDescent="0.25">
      <c r="B1010" s="10"/>
      <c r="C1010" s="10"/>
      <c r="D1010" s="18">
        <v>993</v>
      </c>
      <c r="E1010" s="21">
        <f t="shared" si="61"/>
        <v>13792052377</v>
      </c>
      <c r="F1010" s="21">
        <f t="shared" si="62"/>
        <v>7102906974156</v>
      </c>
      <c r="G1010" s="21">
        <f t="shared" si="63"/>
        <v>24800870348</v>
      </c>
      <c r="H1010" s="22">
        <f t="shared" si="64"/>
        <v>0.72180032578762621</v>
      </c>
      <c r="I1010" s="10"/>
    </row>
    <row r="1011" spans="2:9" x14ac:dyDescent="0.25">
      <c r="B1011" s="10"/>
      <c r="C1011" s="10"/>
      <c r="D1011" s="18">
        <v>994</v>
      </c>
      <c r="E1011" s="21">
        <f t="shared" si="61"/>
        <v>24800870348</v>
      </c>
      <c r="F1011" s="21">
        <f t="shared" si="62"/>
        <v>12772448229221</v>
      </c>
      <c r="G1011" s="21">
        <f t="shared" si="63"/>
        <v>24985294693</v>
      </c>
      <c r="H1011" s="22">
        <f t="shared" si="64"/>
        <v>0.72716778065660037</v>
      </c>
      <c r="I1011" s="10"/>
    </row>
    <row r="1012" spans="2:9" x14ac:dyDescent="0.25">
      <c r="B1012" s="10"/>
      <c r="C1012" s="10"/>
      <c r="D1012" s="18">
        <v>995</v>
      </c>
      <c r="E1012" s="21">
        <f t="shared" si="61"/>
        <v>24985294693</v>
      </c>
      <c r="F1012" s="21">
        <f t="shared" si="62"/>
        <v>12867426766896</v>
      </c>
      <c r="G1012" s="21">
        <f t="shared" si="63"/>
        <v>16884617264</v>
      </c>
      <c r="H1012" s="22">
        <f t="shared" si="64"/>
        <v>0.4914070381782949</v>
      </c>
      <c r="I1012" s="10"/>
    </row>
    <row r="1013" spans="2:9" x14ac:dyDescent="0.25">
      <c r="B1013" s="10"/>
      <c r="C1013" s="10"/>
      <c r="D1013" s="18">
        <v>996</v>
      </c>
      <c r="E1013" s="21">
        <f t="shared" si="61"/>
        <v>16884617264</v>
      </c>
      <c r="F1013" s="21">
        <f t="shared" si="62"/>
        <v>8695577890961</v>
      </c>
      <c r="G1013" s="21">
        <f t="shared" si="63"/>
        <v>2564083857</v>
      </c>
      <c r="H1013" s="22">
        <f t="shared" si="64"/>
        <v>7.4624661850975826E-2</v>
      </c>
      <c r="I1013" s="10"/>
    </row>
    <row r="1014" spans="2:9" x14ac:dyDescent="0.25">
      <c r="B1014" s="10"/>
      <c r="C1014" s="10"/>
      <c r="D1014" s="18">
        <v>997</v>
      </c>
      <c r="E1014" s="21">
        <f t="shared" ref="E1014:E1077" si="65">G1013</f>
        <v>2564083857</v>
      </c>
      <c r="F1014" s="21">
        <f t="shared" si="62"/>
        <v>1320503186356</v>
      </c>
      <c r="G1014" s="21">
        <f t="shared" si="63"/>
        <v>14833128372</v>
      </c>
      <c r="H1014" s="22">
        <f t="shared" si="64"/>
        <v>0.43170085328165442</v>
      </c>
      <c r="I1014" s="10"/>
    </row>
    <row r="1015" spans="2:9" x14ac:dyDescent="0.25">
      <c r="B1015" s="10"/>
      <c r="C1015" s="10"/>
      <c r="D1015" s="18">
        <v>998</v>
      </c>
      <c r="E1015" s="21">
        <f t="shared" si="65"/>
        <v>14833128372</v>
      </c>
      <c r="F1015" s="21">
        <f t="shared" si="62"/>
        <v>7639061111581</v>
      </c>
      <c r="G1015" s="21">
        <f t="shared" si="63"/>
        <v>11199193885</v>
      </c>
      <c r="H1015" s="22">
        <f t="shared" si="64"/>
        <v>0.32593944008112885</v>
      </c>
      <c r="I1015" s="10"/>
    </row>
    <row r="1016" spans="2:9" x14ac:dyDescent="0.25">
      <c r="B1016" s="10"/>
      <c r="C1016" s="10"/>
      <c r="D1016" s="18">
        <v>999</v>
      </c>
      <c r="E1016" s="21">
        <f t="shared" si="65"/>
        <v>11199193885</v>
      </c>
      <c r="F1016" s="21">
        <f t="shared" si="62"/>
        <v>5767584850776</v>
      </c>
      <c r="G1016" s="21">
        <f t="shared" si="63"/>
        <v>29508543320</v>
      </c>
      <c r="H1016" s="22">
        <f t="shared" si="64"/>
        <v>0.85881164181046188</v>
      </c>
      <c r="I1016" s="10"/>
    </row>
    <row r="1017" spans="2:9" x14ac:dyDescent="0.25">
      <c r="B1017" s="10"/>
      <c r="C1017" s="10"/>
      <c r="D1017" s="18">
        <v>1000</v>
      </c>
      <c r="E1017" s="21">
        <f t="shared" si="65"/>
        <v>29508543320</v>
      </c>
      <c r="F1017" s="21">
        <f t="shared" si="62"/>
        <v>15196899809801</v>
      </c>
      <c r="G1017" s="21">
        <f t="shared" si="63"/>
        <v>9895451145</v>
      </c>
      <c r="H1017" s="22">
        <f t="shared" si="64"/>
        <v>0.2879955324169714</v>
      </c>
      <c r="I1017" s="10"/>
    </row>
    <row r="1018" spans="2:9" x14ac:dyDescent="0.25">
      <c r="B1018" s="10"/>
      <c r="C1018" s="10"/>
      <c r="D1018" s="18">
        <v>1001</v>
      </c>
      <c r="E1018" s="21">
        <f t="shared" si="65"/>
        <v>9895451145</v>
      </c>
      <c r="F1018" s="21">
        <f t="shared" si="62"/>
        <v>5096157339676</v>
      </c>
      <c r="G1018" s="21">
        <f t="shared" si="63"/>
        <v>10916061212</v>
      </c>
      <c r="H1018" s="22">
        <f t="shared" si="64"/>
        <v>0.31769919476937503</v>
      </c>
      <c r="I1018" s="10"/>
    </row>
    <row r="1019" spans="2:9" x14ac:dyDescent="0.25">
      <c r="B1019" s="10"/>
      <c r="C1019" s="10"/>
      <c r="D1019" s="18">
        <v>1002</v>
      </c>
      <c r="E1019" s="21">
        <f t="shared" si="65"/>
        <v>10916061212</v>
      </c>
      <c r="F1019" s="21">
        <f t="shared" si="62"/>
        <v>5621771524181</v>
      </c>
      <c r="G1019" s="21">
        <f t="shared" si="63"/>
        <v>21134170197</v>
      </c>
      <c r="H1019" s="22">
        <f t="shared" si="64"/>
        <v>0.61508530625724234</v>
      </c>
      <c r="I1019" s="10"/>
    </row>
    <row r="1020" spans="2:9" x14ac:dyDescent="0.25">
      <c r="B1020" s="10"/>
      <c r="C1020" s="10"/>
      <c r="D1020" s="18">
        <v>1003</v>
      </c>
      <c r="E1020" s="21">
        <f t="shared" si="65"/>
        <v>21134170197</v>
      </c>
      <c r="F1020" s="21">
        <f t="shared" si="62"/>
        <v>10884097651456</v>
      </c>
      <c r="G1020" s="21">
        <f t="shared" si="63"/>
        <v>26420327168</v>
      </c>
      <c r="H1020" s="22">
        <f t="shared" si="64"/>
        <v>0.76893272250890732</v>
      </c>
      <c r="I1020" s="10"/>
    </row>
    <row r="1021" spans="2:9" x14ac:dyDescent="0.25">
      <c r="B1021" s="10"/>
      <c r="C1021" s="10"/>
      <c r="D1021" s="18">
        <v>1004</v>
      </c>
      <c r="E1021" s="21">
        <f t="shared" si="65"/>
        <v>26420327168</v>
      </c>
      <c r="F1021" s="21">
        <f t="shared" si="62"/>
        <v>13606468491521</v>
      </c>
      <c r="G1021" s="21">
        <f t="shared" si="63"/>
        <v>12097793</v>
      </c>
      <c r="H1021" s="22">
        <f t="shared" si="64"/>
        <v>3.520921163726598E-4</v>
      </c>
      <c r="I1021" s="10"/>
    </row>
    <row r="1022" spans="2:9" x14ac:dyDescent="0.25">
      <c r="B1022" s="10"/>
      <c r="C1022" s="10"/>
      <c r="D1022" s="18">
        <v>1005</v>
      </c>
      <c r="E1022" s="21">
        <f t="shared" si="65"/>
        <v>12097793</v>
      </c>
      <c r="F1022" s="21">
        <f t="shared" si="62"/>
        <v>6230363396</v>
      </c>
      <c r="G1022" s="21">
        <f t="shared" si="63"/>
        <v>6230363396</v>
      </c>
      <c r="H1022" s="22">
        <f t="shared" si="64"/>
        <v>0.18132743996102363</v>
      </c>
      <c r="I1022" s="10"/>
    </row>
    <row r="1023" spans="2:9" x14ac:dyDescent="0.25">
      <c r="B1023" s="10"/>
      <c r="C1023" s="10"/>
      <c r="D1023" s="18">
        <v>1006</v>
      </c>
      <c r="E1023" s="21">
        <f t="shared" si="65"/>
        <v>6230363396</v>
      </c>
      <c r="F1023" s="21">
        <f t="shared" si="62"/>
        <v>3208637148941</v>
      </c>
      <c r="G1023" s="21">
        <f t="shared" si="63"/>
        <v>13181480717</v>
      </c>
      <c r="H1023" s="22">
        <f t="shared" si="64"/>
        <v>0.38363157995627262</v>
      </c>
      <c r="I1023" s="10"/>
    </row>
    <row r="1024" spans="2:9" x14ac:dyDescent="0.25">
      <c r="B1024" s="10"/>
      <c r="C1024" s="10"/>
      <c r="D1024" s="18">
        <v>1007</v>
      </c>
      <c r="E1024" s="21">
        <f t="shared" si="65"/>
        <v>13181480717</v>
      </c>
      <c r="F1024" s="21">
        <f t="shared" si="62"/>
        <v>6788462569256</v>
      </c>
      <c r="G1024" s="21">
        <f t="shared" si="63"/>
        <v>19594110760</v>
      </c>
      <c r="H1024" s="22">
        <f t="shared" si="64"/>
        <v>0.57026367750950158</v>
      </c>
      <c r="I1024" s="10"/>
    </row>
    <row r="1025" spans="2:9" x14ac:dyDescent="0.25">
      <c r="B1025" s="10"/>
      <c r="C1025" s="10"/>
      <c r="D1025" s="18">
        <v>1008</v>
      </c>
      <c r="E1025" s="21">
        <f t="shared" si="65"/>
        <v>19594110760</v>
      </c>
      <c r="F1025" s="21">
        <f t="shared" si="62"/>
        <v>10090967041401</v>
      </c>
      <c r="G1025" s="21">
        <f t="shared" si="63"/>
        <v>23563699577</v>
      </c>
      <c r="H1025" s="22">
        <f t="shared" si="64"/>
        <v>0.68579391742241569</v>
      </c>
      <c r="I1025" s="10"/>
    </row>
    <row r="1026" spans="2:9" x14ac:dyDescent="0.25">
      <c r="B1026" s="10"/>
      <c r="C1026" s="10"/>
      <c r="D1026" s="18">
        <v>1009</v>
      </c>
      <c r="E1026" s="21">
        <f t="shared" si="65"/>
        <v>23563699577</v>
      </c>
      <c r="F1026" s="21">
        <f t="shared" si="62"/>
        <v>12135305282156</v>
      </c>
      <c r="G1026" s="21">
        <f t="shared" si="63"/>
        <v>6317638252</v>
      </c>
      <c r="H1026" s="22">
        <f t="shared" si="64"/>
        <v>0.18386747257318348</v>
      </c>
      <c r="I1026" s="10"/>
    </row>
    <row r="1027" spans="2:9" x14ac:dyDescent="0.25">
      <c r="B1027" s="10"/>
      <c r="C1027" s="10"/>
      <c r="D1027" s="18">
        <v>1010</v>
      </c>
      <c r="E1027" s="21">
        <f t="shared" si="65"/>
        <v>6317638252</v>
      </c>
      <c r="F1027" s="21">
        <f t="shared" si="62"/>
        <v>3253583699781</v>
      </c>
      <c r="G1027" s="21">
        <f t="shared" si="63"/>
        <v>23768293189</v>
      </c>
      <c r="H1027" s="22">
        <f t="shared" si="64"/>
        <v>0.69174837521859445</v>
      </c>
      <c r="I1027" s="10"/>
    </row>
    <row r="1028" spans="2:9" x14ac:dyDescent="0.25">
      <c r="B1028" s="10"/>
      <c r="C1028" s="10"/>
      <c r="D1028" s="18">
        <v>1011</v>
      </c>
      <c r="E1028" s="21">
        <f t="shared" si="65"/>
        <v>23768293189</v>
      </c>
      <c r="F1028" s="21">
        <f t="shared" si="62"/>
        <v>12240670992336</v>
      </c>
      <c r="G1028" s="21">
        <f t="shared" si="63"/>
        <v>8604133328</v>
      </c>
      <c r="H1028" s="22">
        <f t="shared" si="64"/>
        <v>0.25041323760524392</v>
      </c>
      <c r="I1028" s="10"/>
    </row>
    <row r="1029" spans="2:9" x14ac:dyDescent="0.25">
      <c r="B1029" s="10"/>
      <c r="C1029" s="10"/>
      <c r="D1029" s="18">
        <v>1012</v>
      </c>
      <c r="E1029" s="21">
        <f t="shared" si="65"/>
        <v>8604133328</v>
      </c>
      <c r="F1029" s="21">
        <f t="shared" si="62"/>
        <v>4431128663921</v>
      </c>
      <c r="G1029" s="21">
        <f t="shared" si="63"/>
        <v>33082152817</v>
      </c>
      <c r="H1029" s="22">
        <f t="shared" si="64"/>
        <v>0.96281736672972329</v>
      </c>
      <c r="I1029" s="10"/>
    </row>
    <row r="1030" spans="2:9" x14ac:dyDescent="0.25">
      <c r="B1030" s="10"/>
      <c r="C1030" s="10"/>
      <c r="D1030" s="18">
        <v>1013</v>
      </c>
      <c r="E1030" s="21">
        <f t="shared" si="65"/>
        <v>33082152817</v>
      </c>
      <c r="F1030" s="21">
        <f t="shared" si="62"/>
        <v>17037308700756</v>
      </c>
      <c r="G1030" s="21">
        <f t="shared" si="63"/>
        <v>29238208596</v>
      </c>
      <c r="H1030" s="22">
        <f t="shared" si="64"/>
        <v>0.85094386583659798</v>
      </c>
      <c r="I1030" s="10"/>
    </row>
    <row r="1031" spans="2:9" x14ac:dyDescent="0.25">
      <c r="B1031" s="10"/>
      <c r="C1031" s="10"/>
      <c r="D1031" s="18">
        <v>1014</v>
      </c>
      <c r="E1031" s="21">
        <f t="shared" si="65"/>
        <v>29238208596</v>
      </c>
      <c r="F1031" s="21">
        <f t="shared" si="62"/>
        <v>15057677426941</v>
      </c>
      <c r="G1031" s="21">
        <f t="shared" si="63"/>
        <v>8112021757</v>
      </c>
      <c r="H1031" s="22">
        <f t="shared" si="64"/>
        <v>0.23609090587706305</v>
      </c>
      <c r="I1031" s="10"/>
    </row>
    <row r="1032" spans="2:9" x14ac:dyDescent="0.25">
      <c r="B1032" s="10"/>
      <c r="C1032" s="10"/>
      <c r="D1032" s="18">
        <v>1015</v>
      </c>
      <c r="E1032" s="21">
        <f t="shared" si="65"/>
        <v>8112021757</v>
      </c>
      <c r="F1032" s="21">
        <f t="shared" si="62"/>
        <v>4177691204856</v>
      </c>
      <c r="G1032" s="21">
        <f t="shared" si="63"/>
        <v>20162862328</v>
      </c>
      <c r="H1032" s="22">
        <f t="shared" si="64"/>
        <v>0.58681652671657503</v>
      </c>
      <c r="I1032" s="10"/>
    </row>
    <row r="1033" spans="2:9" x14ac:dyDescent="0.25">
      <c r="B1033" s="10"/>
      <c r="C1033" s="10"/>
      <c r="D1033" s="18">
        <v>1016</v>
      </c>
      <c r="E1033" s="21">
        <f t="shared" si="65"/>
        <v>20162862328</v>
      </c>
      <c r="F1033" s="21">
        <f t="shared" si="62"/>
        <v>10383874098921</v>
      </c>
      <c r="G1033" s="21">
        <f t="shared" si="63"/>
        <v>7233111785</v>
      </c>
      <c r="H1033" s="22">
        <f t="shared" si="64"/>
        <v>0.21051125906524248</v>
      </c>
      <c r="I1033" s="10"/>
    </row>
    <row r="1034" spans="2:9" x14ac:dyDescent="0.25">
      <c r="B1034" s="10"/>
      <c r="C1034" s="10"/>
      <c r="D1034" s="18">
        <v>1017</v>
      </c>
      <c r="E1034" s="21">
        <f t="shared" si="65"/>
        <v>7233111785</v>
      </c>
      <c r="F1034" s="21">
        <f t="shared" si="62"/>
        <v>3725052569276</v>
      </c>
      <c r="G1034" s="21">
        <f t="shared" si="63"/>
        <v>14200825532</v>
      </c>
      <c r="H1034" s="22">
        <f t="shared" si="64"/>
        <v>0.4132984186289832</v>
      </c>
      <c r="I1034" s="10"/>
    </row>
    <row r="1035" spans="2:9" x14ac:dyDescent="0.25">
      <c r="B1035" s="10"/>
      <c r="C1035" s="10"/>
      <c r="D1035" s="18">
        <v>1018</v>
      </c>
      <c r="E1035" s="21">
        <f t="shared" si="65"/>
        <v>14200825532</v>
      </c>
      <c r="F1035" s="21">
        <f t="shared" si="62"/>
        <v>7313425148981</v>
      </c>
      <c r="G1035" s="21">
        <f t="shared" si="63"/>
        <v>29160614965</v>
      </c>
      <c r="H1035" s="22">
        <f t="shared" si="64"/>
        <v>0.84868559395545162</v>
      </c>
      <c r="I1035" s="10"/>
    </row>
    <row r="1036" spans="2:9" x14ac:dyDescent="0.25">
      <c r="B1036" s="10"/>
      <c r="C1036" s="10"/>
      <c r="D1036" s="18">
        <v>1019</v>
      </c>
      <c r="E1036" s="21">
        <f t="shared" si="65"/>
        <v>29160614965</v>
      </c>
      <c r="F1036" s="21">
        <f t="shared" si="62"/>
        <v>15017716706976</v>
      </c>
      <c r="G1036" s="21">
        <f t="shared" si="63"/>
        <v>2511040160</v>
      </c>
      <c r="H1036" s="22">
        <f t="shared" si="64"/>
        <v>7.3080887086689472E-2</v>
      </c>
      <c r="I1036" s="10"/>
    </row>
    <row r="1037" spans="2:9" x14ac:dyDescent="0.25">
      <c r="B1037" s="10"/>
      <c r="C1037" s="10"/>
      <c r="D1037" s="18">
        <v>1020</v>
      </c>
      <c r="E1037" s="21">
        <f t="shared" si="65"/>
        <v>2511040160</v>
      </c>
      <c r="F1037" s="21">
        <f t="shared" si="62"/>
        <v>1293185682401</v>
      </c>
      <c r="G1037" s="21">
        <f t="shared" si="63"/>
        <v>21875362785</v>
      </c>
      <c r="H1037" s="22">
        <f t="shared" si="64"/>
        <v>0.63665684967418201</v>
      </c>
      <c r="I1037" s="10"/>
    </row>
    <row r="1038" spans="2:9" x14ac:dyDescent="0.25">
      <c r="B1038" s="10"/>
      <c r="C1038" s="10"/>
      <c r="D1038" s="18">
        <v>1021</v>
      </c>
      <c r="E1038" s="21">
        <f t="shared" si="65"/>
        <v>21875362785</v>
      </c>
      <c r="F1038" s="21">
        <f t="shared" si="62"/>
        <v>11265811834276</v>
      </c>
      <c r="G1038" s="21">
        <f t="shared" si="63"/>
        <v>30177387940</v>
      </c>
      <c r="H1038" s="22">
        <f t="shared" si="64"/>
        <v>0.87827758223284036</v>
      </c>
      <c r="I1038" s="10"/>
    </row>
    <row r="1039" spans="2:9" x14ac:dyDescent="0.25">
      <c r="B1039" s="10"/>
      <c r="C1039" s="10"/>
      <c r="D1039" s="18">
        <v>1022</v>
      </c>
      <c r="E1039" s="21">
        <f t="shared" si="65"/>
        <v>30177387940</v>
      </c>
      <c r="F1039" s="21">
        <f t="shared" si="62"/>
        <v>15541354789101</v>
      </c>
      <c r="G1039" s="21">
        <f t="shared" si="63"/>
        <v>10753046765</v>
      </c>
      <c r="H1039" s="22">
        <f t="shared" si="64"/>
        <v>0.31295484994188882</v>
      </c>
      <c r="I1039" s="10"/>
    </row>
    <row r="1040" spans="2:9" x14ac:dyDescent="0.25">
      <c r="B1040" s="10"/>
      <c r="C1040" s="10"/>
      <c r="D1040" s="18">
        <v>1023</v>
      </c>
      <c r="E1040" s="21">
        <f t="shared" si="65"/>
        <v>10753046765</v>
      </c>
      <c r="F1040" s="21">
        <f t="shared" si="62"/>
        <v>5537819083976</v>
      </c>
      <c r="G1040" s="21">
        <f t="shared" si="63"/>
        <v>5901206728</v>
      </c>
      <c r="H1040" s="22">
        <f t="shared" si="64"/>
        <v>0.17174772010184824</v>
      </c>
      <c r="I1040" s="10"/>
    </row>
    <row r="1041" spans="2:9" x14ac:dyDescent="0.25">
      <c r="B1041" s="10"/>
      <c r="C1041" s="10"/>
      <c r="D1041" s="18">
        <v>1024</v>
      </c>
      <c r="E1041" s="21">
        <f t="shared" si="65"/>
        <v>5901206728</v>
      </c>
      <c r="F1041" s="21">
        <f t="shared" si="62"/>
        <v>3039121464921</v>
      </c>
      <c r="G1041" s="21">
        <f t="shared" si="63"/>
        <v>15464488537</v>
      </c>
      <c r="H1041" s="22">
        <f t="shared" si="64"/>
        <v>0.45007585248094983</v>
      </c>
      <c r="I1041" s="10"/>
    </row>
    <row r="1042" spans="2:9" x14ac:dyDescent="0.25">
      <c r="B1042" s="10"/>
      <c r="C1042" s="10"/>
      <c r="D1042" s="18">
        <v>1025</v>
      </c>
      <c r="E1042" s="21">
        <f t="shared" si="65"/>
        <v>15464488537</v>
      </c>
      <c r="F1042" s="21">
        <f t="shared" si="62"/>
        <v>7964211596556</v>
      </c>
      <c r="G1042" s="21">
        <f t="shared" si="63"/>
        <v>27112033548</v>
      </c>
      <c r="H1042" s="22">
        <f t="shared" si="64"/>
        <v>0.78906402771826833</v>
      </c>
      <c r="I1042" s="10"/>
    </row>
    <row r="1043" spans="2:9" x14ac:dyDescent="0.25">
      <c r="B1043" s="10"/>
      <c r="C1043" s="10"/>
      <c r="D1043" s="18">
        <v>1026</v>
      </c>
      <c r="E1043" s="21">
        <f t="shared" si="65"/>
        <v>27112033548</v>
      </c>
      <c r="F1043" s="21">
        <f t="shared" ref="F1043:F1106" si="66">E$7 * E1043 + H$7</f>
        <v>13962697277221</v>
      </c>
      <c r="G1043" s="21">
        <f t="shared" ref="G1043:G1106" si="67">MOD(F1043,F$7)</f>
        <v>12643499813</v>
      </c>
      <c r="H1043" s="22">
        <f t="shared" ref="H1043:H1106" si="68">G1043/F$7</f>
        <v>0.36797427493729629</v>
      </c>
      <c r="I1043" s="10"/>
    </row>
    <row r="1044" spans="2:9" x14ac:dyDescent="0.25">
      <c r="B1044" s="10"/>
      <c r="C1044" s="10"/>
      <c r="D1044" s="18">
        <v>1027</v>
      </c>
      <c r="E1044" s="21">
        <f t="shared" si="65"/>
        <v>12643499813</v>
      </c>
      <c r="F1044" s="21">
        <f t="shared" si="66"/>
        <v>6511402403696</v>
      </c>
      <c r="G1044" s="21">
        <f t="shared" si="67"/>
        <v>17411852144</v>
      </c>
      <c r="H1044" s="22">
        <f t="shared" si="68"/>
        <v>0.50675159273669124</v>
      </c>
      <c r="I1044" s="10"/>
    </row>
    <row r="1045" spans="2:9" x14ac:dyDescent="0.25">
      <c r="B1045" s="10"/>
      <c r="C1045" s="10"/>
      <c r="D1045" s="18">
        <v>1028</v>
      </c>
      <c r="E1045" s="21">
        <f t="shared" si="65"/>
        <v>17411852144</v>
      </c>
      <c r="F1045" s="21">
        <f t="shared" si="66"/>
        <v>8967103854161</v>
      </c>
      <c r="G1045" s="21">
        <f t="shared" si="67"/>
        <v>33571878481</v>
      </c>
      <c r="H1045" s="22">
        <f t="shared" si="68"/>
        <v>0.97707025942509063</v>
      </c>
      <c r="I1045" s="10"/>
    </row>
    <row r="1046" spans="2:9" x14ac:dyDescent="0.25">
      <c r="B1046" s="10"/>
      <c r="C1046" s="10"/>
      <c r="D1046" s="18">
        <v>1029</v>
      </c>
      <c r="E1046" s="21">
        <f t="shared" si="65"/>
        <v>33571878481</v>
      </c>
      <c r="F1046" s="21">
        <f t="shared" si="66"/>
        <v>17289517417716</v>
      </c>
      <c r="G1046" s="21">
        <f t="shared" si="67"/>
        <v>6569018612</v>
      </c>
      <c r="H1046" s="22">
        <f t="shared" si="68"/>
        <v>0.19118360395077616</v>
      </c>
      <c r="I1046" s="10"/>
    </row>
    <row r="1047" spans="2:9" x14ac:dyDescent="0.25">
      <c r="B1047" s="10"/>
      <c r="C1047" s="10"/>
      <c r="D1047" s="18">
        <v>1030</v>
      </c>
      <c r="E1047" s="21">
        <f t="shared" si="65"/>
        <v>6569018612</v>
      </c>
      <c r="F1047" s="21">
        <f t="shared" si="66"/>
        <v>3383044585181</v>
      </c>
      <c r="G1047" s="21">
        <f t="shared" si="67"/>
        <v>15790225117</v>
      </c>
      <c r="H1047" s="22">
        <f t="shared" si="68"/>
        <v>0.45955603467882611</v>
      </c>
      <c r="I1047" s="10"/>
    </row>
    <row r="1048" spans="2:9" x14ac:dyDescent="0.25">
      <c r="B1048" s="10"/>
      <c r="C1048" s="10"/>
      <c r="D1048" s="18">
        <v>1031</v>
      </c>
      <c r="E1048" s="21">
        <f t="shared" si="65"/>
        <v>15790225117</v>
      </c>
      <c r="F1048" s="21">
        <f t="shared" si="66"/>
        <v>8131965935256</v>
      </c>
      <c r="G1048" s="21">
        <f t="shared" si="67"/>
        <v>23067680408</v>
      </c>
      <c r="H1048" s="22">
        <f t="shared" si="68"/>
        <v>0.67135785962454975</v>
      </c>
      <c r="I1048" s="10"/>
    </row>
    <row r="1049" spans="2:9" x14ac:dyDescent="0.25">
      <c r="B1049" s="10"/>
      <c r="C1049" s="10"/>
      <c r="D1049" s="18">
        <v>1032</v>
      </c>
      <c r="E1049" s="21">
        <f t="shared" si="65"/>
        <v>23067680408</v>
      </c>
      <c r="F1049" s="21">
        <f t="shared" si="66"/>
        <v>11879855410121</v>
      </c>
      <c r="G1049" s="21">
        <f t="shared" si="67"/>
        <v>25745673161</v>
      </c>
      <c r="H1049" s="22">
        <f t="shared" si="68"/>
        <v>0.74929770667222328</v>
      </c>
      <c r="I1049" s="10"/>
    </row>
    <row r="1050" spans="2:9" x14ac:dyDescent="0.25">
      <c r="B1050" s="10"/>
      <c r="C1050" s="10"/>
      <c r="D1050" s="18">
        <v>1033</v>
      </c>
      <c r="E1050" s="21">
        <f t="shared" si="65"/>
        <v>25745673161</v>
      </c>
      <c r="F1050" s="21">
        <f t="shared" si="66"/>
        <v>13259021677916</v>
      </c>
      <c r="G1050" s="21">
        <f t="shared" si="67"/>
        <v>30522406236</v>
      </c>
      <c r="H1050" s="22">
        <f t="shared" si="68"/>
        <v>0.88831893622409552</v>
      </c>
      <c r="I1050" s="10"/>
    </row>
    <row r="1051" spans="2:9" x14ac:dyDescent="0.25">
      <c r="B1051" s="10"/>
      <c r="C1051" s="10"/>
      <c r="D1051" s="18">
        <v>1034</v>
      </c>
      <c r="E1051" s="21">
        <f t="shared" si="65"/>
        <v>30522406236</v>
      </c>
      <c r="F1051" s="21">
        <f t="shared" si="66"/>
        <v>15719039211541</v>
      </c>
      <c r="G1051" s="21">
        <f t="shared" si="67"/>
        <v>16638777365</v>
      </c>
      <c r="H1051" s="22">
        <f t="shared" si="68"/>
        <v>0.48425215543829836</v>
      </c>
      <c r="I1051" s="10"/>
    </row>
    <row r="1052" spans="2:9" x14ac:dyDescent="0.25">
      <c r="B1052" s="10"/>
      <c r="C1052" s="10"/>
      <c r="D1052" s="18">
        <v>1035</v>
      </c>
      <c r="E1052" s="21">
        <f t="shared" si="65"/>
        <v>16638777365</v>
      </c>
      <c r="F1052" s="21">
        <f t="shared" si="66"/>
        <v>8568970342976</v>
      </c>
      <c r="G1052" s="21">
        <f t="shared" si="67"/>
        <v>13395489344</v>
      </c>
      <c r="H1052" s="22">
        <f t="shared" si="68"/>
        <v>0.38986005075275898</v>
      </c>
      <c r="I1052" s="10"/>
    </row>
    <row r="1053" spans="2:9" x14ac:dyDescent="0.25">
      <c r="B1053" s="10"/>
      <c r="C1053" s="10"/>
      <c r="D1053" s="18">
        <v>1036</v>
      </c>
      <c r="E1053" s="21">
        <f t="shared" si="65"/>
        <v>13395489344</v>
      </c>
      <c r="F1053" s="21">
        <f t="shared" si="66"/>
        <v>6898677012161</v>
      </c>
      <c r="G1053" s="21">
        <f t="shared" si="67"/>
        <v>26729338561</v>
      </c>
      <c r="H1053" s="22">
        <f t="shared" si="68"/>
        <v>0.77792613769997843</v>
      </c>
      <c r="I1053" s="10"/>
    </row>
    <row r="1054" spans="2:9" x14ac:dyDescent="0.25">
      <c r="B1054" s="10"/>
      <c r="C1054" s="10"/>
      <c r="D1054" s="18">
        <v>1037</v>
      </c>
      <c r="E1054" s="21">
        <f t="shared" si="65"/>
        <v>26729338561</v>
      </c>
      <c r="F1054" s="21">
        <f t="shared" si="66"/>
        <v>13765609358916</v>
      </c>
      <c r="G1054" s="21">
        <f t="shared" si="67"/>
        <v>21714011716</v>
      </c>
      <c r="H1054" s="22">
        <f t="shared" si="68"/>
        <v>0.63196091551799327</v>
      </c>
      <c r="I1054" s="10"/>
    </row>
    <row r="1055" spans="2:9" x14ac:dyDescent="0.25">
      <c r="B1055" s="10"/>
      <c r="C1055" s="10"/>
      <c r="D1055" s="18">
        <v>1038</v>
      </c>
      <c r="E1055" s="21">
        <f t="shared" si="65"/>
        <v>21714011716</v>
      </c>
      <c r="F1055" s="21">
        <f t="shared" si="66"/>
        <v>11182716033741</v>
      </c>
      <c r="G1055" s="21">
        <f t="shared" si="67"/>
        <v>15801064141</v>
      </c>
      <c r="H1055" s="22">
        <f t="shared" si="68"/>
        <v>0.45987149179563858</v>
      </c>
      <c r="I1055" s="10"/>
    </row>
    <row r="1056" spans="2:9" x14ac:dyDescent="0.25">
      <c r="B1056" s="10"/>
      <c r="C1056" s="10"/>
      <c r="D1056" s="18">
        <v>1039</v>
      </c>
      <c r="E1056" s="21">
        <f t="shared" si="65"/>
        <v>15801064141</v>
      </c>
      <c r="F1056" s="21">
        <f t="shared" si="66"/>
        <v>8137548032616</v>
      </c>
      <c r="G1056" s="21">
        <f t="shared" si="67"/>
        <v>28649777768</v>
      </c>
      <c r="H1056" s="22">
        <f t="shared" si="68"/>
        <v>0.83381827478297055</v>
      </c>
      <c r="I1056" s="10"/>
    </row>
    <row r="1057" spans="2:9" x14ac:dyDescent="0.25">
      <c r="B1057" s="10"/>
      <c r="C1057" s="10"/>
      <c r="D1057" s="18">
        <v>1040</v>
      </c>
      <c r="E1057" s="21">
        <f t="shared" si="65"/>
        <v>28649777768</v>
      </c>
      <c r="F1057" s="21">
        <f t="shared" si="66"/>
        <v>14754635550521</v>
      </c>
      <c r="G1057" s="21">
        <f t="shared" si="67"/>
        <v>14307790649</v>
      </c>
      <c r="H1057" s="22">
        <f t="shared" si="68"/>
        <v>0.41641151325893588</v>
      </c>
      <c r="I1057" s="10"/>
    </row>
    <row r="1058" spans="2:9" x14ac:dyDescent="0.25">
      <c r="B1058" s="10"/>
      <c r="C1058" s="10"/>
      <c r="D1058" s="18">
        <v>1041</v>
      </c>
      <c r="E1058" s="21">
        <f t="shared" si="65"/>
        <v>14307790649</v>
      </c>
      <c r="F1058" s="21">
        <f t="shared" si="66"/>
        <v>7368512184236</v>
      </c>
      <c r="G1058" s="21">
        <f t="shared" si="67"/>
        <v>15528173484</v>
      </c>
      <c r="H1058" s="22">
        <f t="shared" si="68"/>
        <v>0.45192932838108391</v>
      </c>
      <c r="I1058" s="10"/>
    </row>
    <row r="1059" spans="2:9" x14ac:dyDescent="0.25">
      <c r="B1059" s="10"/>
      <c r="C1059" s="10"/>
      <c r="D1059" s="18">
        <v>1042</v>
      </c>
      <c r="E1059" s="21">
        <f t="shared" si="65"/>
        <v>15528173484</v>
      </c>
      <c r="F1059" s="21">
        <f t="shared" si="66"/>
        <v>7997009344261</v>
      </c>
      <c r="G1059" s="21">
        <f t="shared" si="67"/>
        <v>25550042885</v>
      </c>
      <c r="H1059" s="22">
        <f t="shared" si="68"/>
        <v>0.74360411628731526</v>
      </c>
      <c r="I1059" s="10"/>
    </row>
    <row r="1060" spans="2:9" x14ac:dyDescent="0.25">
      <c r="B1060" s="10"/>
      <c r="C1060" s="10"/>
      <c r="D1060" s="18">
        <v>1043</v>
      </c>
      <c r="E1060" s="21">
        <f t="shared" si="65"/>
        <v>25550042885</v>
      </c>
      <c r="F1060" s="21">
        <f t="shared" si="66"/>
        <v>13158272085776</v>
      </c>
      <c r="G1060" s="21">
        <f t="shared" si="67"/>
        <v>32852029200</v>
      </c>
      <c r="H1060" s="22">
        <f t="shared" si="68"/>
        <v>0.95611988799646497</v>
      </c>
      <c r="I1060" s="10"/>
    </row>
    <row r="1061" spans="2:9" x14ac:dyDescent="0.25">
      <c r="B1061" s="10"/>
      <c r="C1061" s="10"/>
      <c r="D1061" s="18">
        <v>1044</v>
      </c>
      <c r="E1061" s="21">
        <f t="shared" si="65"/>
        <v>32852029200</v>
      </c>
      <c r="F1061" s="21">
        <f t="shared" si="66"/>
        <v>16918795038001</v>
      </c>
      <c r="G1061" s="21">
        <f t="shared" si="67"/>
        <v>13803760945</v>
      </c>
      <c r="H1061" s="22">
        <f t="shared" si="68"/>
        <v>0.40174231820856221</v>
      </c>
      <c r="I1061" s="10"/>
    </row>
    <row r="1062" spans="2:9" x14ac:dyDescent="0.25">
      <c r="B1062" s="10"/>
      <c r="C1062" s="10"/>
      <c r="D1062" s="18">
        <v>1045</v>
      </c>
      <c r="E1062" s="21">
        <f t="shared" si="65"/>
        <v>13803760945</v>
      </c>
      <c r="F1062" s="21">
        <f t="shared" si="66"/>
        <v>7108936886676</v>
      </c>
      <c r="G1062" s="21">
        <f t="shared" si="67"/>
        <v>30830782868</v>
      </c>
      <c r="H1062" s="22">
        <f t="shared" si="68"/>
        <v>0.89729387743864208</v>
      </c>
      <c r="I1062" s="10"/>
    </row>
    <row r="1063" spans="2:9" x14ac:dyDescent="0.25">
      <c r="B1063" s="10"/>
      <c r="C1063" s="10"/>
      <c r="D1063" s="18">
        <v>1046</v>
      </c>
      <c r="E1063" s="21">
        <f t="shared" si="65"/>
        <v>30830782868</v>
      </c>
      <c r="F1063" s="21">
        <f t="shared" si="66"/>
        <v>15877853177021</v>
      </c>
      <c r="G1063" s="21">
        <f t="shared" si="67"/>
        <v>3654051005</v>
      </c>
      <c r="H1063" s="22">
        <f t="shared" si="68"/>
        <v>0.1063468809297774</v>
      </c>
      <c r="I1063" s="10"/>
    </row>
    <row r="1064" spans="2:9" x14ac:dyDescent="0.25">
      <c r="B1064" s="10"/>
      <c r="C1064" s="10"/>
      <c r="D1064" s="18">
        <v>1047</v>
      </c>
      <c r="E1064" s="21">
        <f t="shared" si="65"/>
        <v>3654051005</v>
      </c>
      <c r="F1064" s="21">
        <f t="shared" si="66"/>
        <v>1881836267576</v>
      </c>
      <c r="G1064" s="21">
        <f t="shared" si="67"/>
        <v>26410395704</v>
      </c>
      <c r="H1064" s="22">
        <f t="shared" si="68"/>
        <v>0.76864367886446416</v>
      </c>
      <c r="I1064" s="10"/>
    </row>
    <row r="1065" spans="2:9" x14ac:dyDescent="0.25">
      <c r="B1065" s="10"/>
      <c r="C1065" s="10"/>
      <c r="D1065" s="18">
        <v>1048</v>
      </c>
      <c r="E1065" s="21">
        <f t="shared" si="65"/>
        <v>26410395704</v>
      </c>
      <c r="F1065" s="21">
        <f t="shared" si="66"/>
        <v>13601353787561</v>
      </c>
      <c r="G1065" s="21">
        <f t="shared" si="67"/>
        <v>29257132201</v>
      </c>
      <c r="H1065" s="22">
        <f t="shared" si="68"/>
        <v>0.85149461522814818</v>
      </c>
      <c r="I1065" s="10"/>
    </row>
    <row r="1066" spans="2:9" x14ac:dyDescent="0.25">
      <c r="B1066" s="10"/>
      <c r="C1066" s="10"/>
      <c r="D1066" s="18">
        <v>1049</v>
      </c>
      <c r="E1066" s="21">
        <f t="shared" si="65"/>
        <v>29257132201</v>
      </c>
      <c r="F1066" s="21">
        <f t="shared" si="66"/>
        <v>15067423083516</v>
      </c>
      <c r="G1066" s="21">
        <f t="shared" si="67"/>
        <v>17857678332</v>
      </c>
      <c r="H1066" s="22">
        <f t="shared" si="68"/>
        <v>0.51972684252541512</v>
      </c>
      <c r="I1066" s="10"/>
    </row>
    <row r="1067" spans="2:9" x14ac:dyDescent="0.25">
      <c r="B1067" s="10"/>
      <c r="C1067" s="10"/>
      <c r="D1067" s="18">
        <v>1050</v>
      </c>
      <c r="E1067" s="21">
        <f t="shared" si="65"/>
        <v>17857678332</v>
      </c>
      <c r="F1067" s="21">
        <f t="shared" si="66"/>
        <v>9196704340981</v>
      </c>
      <c r="G1067" s="21">
        <f t="shared" si="67"/>
        <v>22654196725</v>
      </c>
      <c r="H1067" s="22">
        <f t="shared" si="68"/>
        <v>0.65932390061789192</v>
      </c>
      <c r="I1067" s="10"/>
    </row>
    <row r="1068" spans="2:9" x14ac:dyDescent="0.25">
      <c r="B1068" s="10"/>
      <c r="C1068" s="10"/>
      <c r="D1068" s="18">
        <v>1051</v>
      </c>
      <c r="E1068" s="21">
        <f t="shared" si="65"/>
        <v>22654196725</v>
      </c>
      <c r="F1068" s="21">
        <f t="shared" si="66"/>
        <v>11666911313376</v>
      </c>
      <c r="G1068" s="21">
        <f t="shared" si="67"/>
        <v>18960006624</v>
      </c>
      <c r="H1068" s="22">
        <f t="shared" si="68"/>
        <v>0.55180881824344397</v>
      </c>
      <c r="I1068" s="10"/>
    </row>
    <row r="1069" spans="2:9" x14ac:dyDescent="0.25">
      <c r="B1069" s="10"/>
      <c r="C1069" s="10"/>
      <c r="D1069" s="18">
        <v>1052</v>
      </c>
      <c r="E1069" s="21">
        <f t="shared" si="65"/>
        <v>18960006624</v>
      </c>
      <c r="F1069" s="21">
        <f t="shared" si="66"/>
        <v>9764403411361</v>
      </c>
      <c r="G1069" s="21">
        <f t="shared" si="67"/>
        <v>6237714849</v>
      </c>
      <c r="H1069" s="22">
        <f t="shared" si="68"/>
        <v>0.18154139540274628</v>
      </c>
      <c r="I1069" s="10"/>
    </row>
    <row r="1070" spans="2:9" x14ac:dyDescent="0.25">
      <c r="B1070" s="10"/>
      <c r="C1070" s="10"/>
      <c r="D1070" s="18">
        <v>1053</v>
      </c>
      <c r="E1070" s="21">
        <f t="shared" si="65"/>
        <v>6237714849</v>
      </c>
      <c r="F1070" s="21">
        <f t="shared" si="66"/>
        <v>3212423147236</v>
      </c>
      <c r="G1070" s="21">
        <f t="shared" si="67"/>
        <v>16967479012</v>
      </c>
      <c r="H1070" s="22">
        <f t="shared" si="68"/>
        <v>0.49381863244343549</v>
      </c>
      <c r="I1070" s="10"/>
    </row>
    <row r="1071" spans="2:9" x14ac:dyDescent="0.25">
      <c r="B1071" s="10"/>
      <c r="C1071" s="10"/>
      <c r="D1071" s="18">
        <v>1054</v>
      </c>
      <c r="E1071" s="21">
        <f t="shared" si="65"/>
        <v>16967479012</v>
      </c>
      <c r="F1071" s="21">
        <f t="shared" si="66"/>
        <v>8738251691181</v>
      </c>
      <c r="G1071" s="21">
        <f t="shared" si="67"/>
        <v>10878145709</v>
      </c>
      <c r="H1071" s="22">
        <f t="shared" si="68"/>
        <v>0.31659570839838125</v>
      </c>
      <c r="I1071" s="10"/>
    </row>
    <row r="1072" spans="2:9" x14ac:dyDescent="0.25">
      <c r="B1072" s="10"/>
      <c r="C1072" s="10"/>
      <c r="D1072" s="18">
        <v>1055</v>
      </c>
      <c r="E1072" s="21">
        <f t="shared" si="65"/>
        <v>10878145709</v>
      </c>
      <c r="F1072" s="21">
        <f t="shared" si="66"/>
        <v>5602245040136</v>
      </c>
      <c r="G1072" s="21">
        <f t="shared" si="67"/>
        <v>1607686152</v>
      </c>
      <c r="H1072" s="22">
        <f t="shared" si="68"/>
        <v>4.678982519544661E-2</v>
      </c>
      <c r="I1072" s="10"/>
    </row>
    <row r="1073" spans="2:9" x14ac:dyDescent="0.25">
      <c r="B1073" s="10"/>
      <c r="C1073" s="10"/>
      <c r="D1073" s="18">
        <v>1056</v>
      </c>
      <c r="E1073" s="21">
        <f t="shared" si="65"/>
        <v>1607686152</v>
      </c>
      <c r="F1073" s="21">
        <f t="shared" si="66"/>
        <v>827958368281</v>
      </c>
      <c r="G1073" s="21">
        <f t="shared" si="67"/>
        <v>3324647449</v>
      </c>
      <c r="H1073" s="22">
        <f t="shared" si="68"/>
        <v>9.6759975684108213E-2</v>
      </c>
      <c r="I1073" s="10"/>
    </row>
    <row r="1074" spans="2:9" x14ac:dyDescent="0.25">
      <c r="B1074" s="10"/>
      <c r="C1074" s="10"/>
      <c r="D1074" s="18">
        <v>1057</v>
      </c>
      <c r="E1074" s="21">
        <f t="shared" si="65"/>
        <v>3324647449</v>
      </c>
      <c r="F1074" s="21">
        <f t="shared" si="66"/>
        <v>1712193436236</v>
      </c>
      <c r="G1074" s="21">
        <f t="shared" si="67"/>
        <v>28566256204</v>
      </c>
      <c r="H1074" s="22">
        <f t="shared" si="68"/>
        <v>0.83138747734483331</v>
      </c>
      <c r="I1074" s="10"/>
    </row>
    <row r="1075" spans="2:9" x14ac:dyDescent="0.25">
      <c r="B1075" s="10"/>
      <c r="C1075" s="10"/>
      <c r="D1075" s="18">
        <v>1058</v>
      </c>
      <c r="E1075" s="21">
        <f t="shared" si="65"/>
        <v>28566256204</v>
      </c>
      <c r="F1075" s="21">
        <f t="shared" si="66"/>
        <v>14711621945061</v>
      </c>
      <c r="G1075" s="21">
        <f t="shared" si="67"/>
        <v>5653923557</v>
      </c>
      <c r="H1075" s="22">
        <f t="shared" si="68"/>
        <v>0.16455083261826076</v>
      </c>
      <c r="I1075" s="10"/>
    </row>
    <row r="1076" spans="2:9" x14ac:dyDescent="0.25">
      <c r="B1076" s="10"/>
      <c r="C1076" s="10"/>
      <c r="D1076" s="18">
        <v>1059</v>
      </c>
      <c r="E1076" s="21">
        <f t="shared" si="65"/>
        <v>5653923557</v>
      </c>
      <c r="F1076" s="21">
        <f t="shared" si="66"/>
        <v>2911770631856</v>
      </c>
      <c r="G1076" s="21">
        <f t="shared" si="67"/>
        <v>25552608944</v>
      </c>
      <c r="H1076" s="22">
        <f t="shared" si="68"/>
        <v>0.74367879843339324</v>
      </c>
      <c r="I1076" s="10"/>
    </row>
    <row r="1077" spans="2:9" x14ac:dyDescent="0.25">
      <c r="B1077" s="10"/>
      <c r="C1077" s="10"/>
      <c r="D1077" s="18">
        <v>1060</v>
      </c>
      <c r="E1077" s="21">
        <f t="shared" si="65"/>
        <v>25552608944</v>
      </c>
      <c r="F1077" s="21">
        <f t="shared" si="66"/>
        <v>13159593606161</v>
      </c>
      <c r="G1077" s="21">
        <f t="shared" si="67"/>
        <v>34173549585</v>
      </c>
      <c r="H1077" s="22">
        <f t="shared" si="68"/>
        <v>0.99458119322662242</v>
      </c>
      <c r="I1077" s="10"/>
    </row>
    <row r="1078" spans="2:9" x14ac:dyDescent="0.25">
      <c r="B1078" s="10"/>
      <c r="C1078" s="10"/>
      <c r="D1078" s="18">
        <v>1061</v>
      </c>
      <c r="E1078" s="21">
        <f t="shared" ref="E1078:E1141" si="69">G1077</f>
        <v>34173549585</v>
      </c>
      <c r="F1078" s="21">
        <f t="shared" si="66"/>
        <v>17599378036276</v>
      </c>
      <c r="G1078" s="21">
        <f t="shared" si="67"/>
        <v>7191991860</v>
      </c>
      <c r="H1078" s="22">
        <f t="shared" si="68"/>
        <v>0.20931451173964888</v>
      </c>
      <c r="I1078" s="10"/>
    </row>
    <row r="1079" spans="2:9" x14ac:dyDescent="0.25">
      <c r="B1079" s="10"/>
      <c r="C1079" s="10"/>
      <c r="D1079" s="18">
        <v>1062</v>
      </c>
      <c r="E1079" s="21">
        <f t="shared" si="69"/>
        <v>7191991860</v>
      </c>
      <c r="F1079" s="21">
        <f t="shared" si="66"/>
        <v>3703875807901</v>
      </c>
      <c r="G1079" s="21">
        <f t="shared" si="67"/>
        <v>27383802525</v>
      </c>
      <c r="H1079" s="22">
        <f t="shared" si="68"/>
        <v>0.7969735459482763</v>
      </c>
      <c r="I1079" s="10"/>
    </row>
    <row r="1080" spans="2:9" x14ac:dyDescent="0.25">
      <c r="B1080" s="10"/>
      <c r="C1080" s="10"/>
      <c r="D1080" s="18">
        <v>1063</v>
      </c>
      <c r="E1080" s="21">
        <f t="shared" si="69"/>
        <v>27383802525</v>
      </c>
      <c r="F1080" s="21">
        <f t="shared" si="66"/>
        <v>14102658300376</v>
      </c>
      <c r="G1080" s="21">
        <f t="shared" si="67"/>
        <v>15165569496</v>
      </c>
      <c r="H1080" s="22">
        <f t="shared" si="68"/>
        <v>0.4413761633913964</v>
      </c>
      <c r="I1080" s="10"/>
    </row>
    <row r="1081" spans="2:9" x14ac:dyDescent="0.25">
      <c r="B1081" s="10"/>
      <c r="C1081" s="10"/>
      <c r="D1081" s="18">
        <v>1064</v>
      </c>
      <c r="E1081" s="21">
        <f t="shared" si="69"/>
        <v>15165569496</v>
      </c>
      <c r="F1081" s="21">
        <f t="shared" si="66"/>
        <v>7810268290441</v>
      </c>
      <c r="G1081" s="21">
        <f t="shared" si="67"/>
        <v>10607680905</v>
      </c>
      <c r="H1081" s="22">
        <f t="shared" si="68"/>
        <v>0.30872414659825154</v>
      </c>
      <c r="I1081" s="10"/>
    </row>
    <row r="1082" spans="2:9" x14ac:dyDescent="0.25">
      <c r="B1082" s="10"/>
      <c r="C1082" s="10"/>
      <c r="D1082" s="18">
        <v>1065</v>
      </c>
      <c r="E1082" s="21">
        <f t="shared" si="69"/>
        <v>10607680905</v>
      </c>
      <c r="F1082" s="21">
        <f t="shared" si="66"/>
        <v>5462955666076</v>
      </c>
      <c r="G1082" s="21">
        <f t="shared" si="67"/>
        <v>34117003932</v>
      </c>
      <c r="H1082" s="22">
        <f t="shared" si="68"/>
        <v>0.99293549812864512</v>
      </c>
      <c r="I1082" s="10"/>
    </row>
    <row r="1083" spans="2:9" x14ac:dyDescent="0.25">
      <c r="B1083" s="10"/>
      <c r="C1083" s="10"/>
      <c r="D1083" s="18">
        <v>1066</v>
      </c>
      <c r="E1083" s="21">
        <f t="shared" si="69"/>
        <v>34117003932</v>
      </c>
      <c r="F1083" s="21">
        <f t="shared" si="66"/>
        <v>17570257024981</v>
      </c>
      <c r="G1083" s="21">
        <f t="shared" si="67"/>
        <v>12430718933</v>
      </c>
      <c r="H1083" s="22">
        <f t="shared" si="68"/>
        <v>0.36178153628134169</v>
      </c>
      <c r="I1083" s="10"/>
    </row>
    <row r="1084" spans="2:9" x14ac:dyDescent="0.25">
      <c r="B1084" s="10"/>
      <c r="C1084" s="10"/>
      <c r="D1084" s="18">
        <v>1067</v>
      </c>
      <c r="E1084" s="21">
        <f t="shared" si="69"/>
        <v>12430718933</v>
      </c>
      <c r="F1084" s="21">
        <f t="shared" si="66"/>
        <v>6401820250496</v>
      </c>
      <c r="G1084" s="21">
        <f t="shared" si="67"/>
        <v>10908914048</v>
      </c>
      <c r="H1084" s="22">
        <f t="shared" si="68"/>
        <v>0.31749118492007256</v>
      </c>
      <c r="I1084" s="10"/>
    </row>
    <row r="1085" spans="2:9" x14ac:dyDescent="0.25">
      <c r="B1085" s="10"/>
      <c r="C1085" s="10"/>
      <c r="D1085" s="18">
        <v>1068</v>
      </c>
      <c r="E1085" s="21">
        <f t="shared" si="69"/>
        <v>10908914048</v>
      </c>
      <c r="F1085" s="21">
        <f t="shared" si="66"/>
        <v>5618090734721</v>
      </c>
      <c r="G1085" s="21">
        <f t="shared" si="67"/>
        <v>17453380737</v>
      </c>
      <c r="H1085" s="22">
        <f t="shared" si="68"/>
        <v>0.50796023386646993</v>
      </c>
      <c r="I1085" s="10"/>
    </row>
    <row r="1086" spans="2:9" x14ac:dyDescent="0.25">
      <c r="B1086" s="10"/>
      <c r="C1086" s="10"/>
      <c r="D1086" s="18">
        <v>1069</v>
      </c>
      <c r="E1086" s="21">
        <f t="shared" si="69"/>
        <v>17453380737</v>
      </c>
      <c r="F1086" s="21">
        <f t="shared" si="66"/>
        <v>8988491079556</v>
      </c>
      <c r="G1086" s="21">
        <f t="shared" si="67"/>
        <v>20599365508</v>
      </c>
      <c r="H1086" s="22">
        <f t="shared" si="68"/>
        <v>0.59952044126112014</v>
      </c>
      <c r="I1086" s="10"/>
    </row>
    <row r="1087" spans="2:9" x14ac:dyDescent="0.25">
      <c r="B1087" s="10"/>
      <c r="C1087" s="10"/>
      <c r="D1087" s="18">
        <v>1070</v>
      </c>
      <c r="E1087" s="21">
        <f t="shared" si="69"/>
        <v>20599365508</v>
      </c>
      <c r="F1087" s="21">
        <f t="shared" si="66"/>
        <v>10608673236621</v>
      </c>
      <c r="G1087" s="21">
        <f t="shared" si="67"/>
        <v>25873819277</v>
      </c>
      <c r="H1087" s="22">
        <f t="shared" si="68"/>
        <v>0.75302724950597622</v>
      </c>
      <c r="I1087" s="10"/>
    </row>
    <row r="1088" spans="2:9" x14ac:dyDescent="0.25">
      <c r="B1088" s="10"/>
      <c r="C1088" s="10"/>
      <c r="D1088" s="18">
        <v>1071</v>
      </c>
      <c r="E1088" s="21">
        <f t="shared" si="69"/>
        <v>25873819277</v>
      </c>
      <c r="F1088" s="21">
        <f t="shared" si="66"/>
        <v>13325016927656</v>
      </c>
      <c r="G1088" s="21">
        <f t="shared" si="67"/>
        <v>27798179240</v>
      </c>
      <c r="H1088" s="22">
        <f t="shared" si="68"/>
        <v>0.80903349560685456</v>
      </c>
      <c r="I1088" s="10"/>
    </row>
    <row r="1089" spans="2:9" x14ac:dyDescent="0.25">
      <c r="B1089" s="10"/>
      <c r="C1089" s="10"/>
      <c r="D1089" s="18">
        <v>1072</v>
      </c>
      <c r="E1089" s="21">
        <f t="shared" si="69"/>
        <v>27798179240</v>
      </c>
      <c r="F1089" s="21">
        <f t="shared" si="66"/>
        <v>14316062308601</v>
      </c>
      <c r="G1089" s="21">
        <f t="shared" si="67"/>
        <v>22411147513</v>
      </c>
      <c r="H1089" s="22">
        <f t="shared" si="68"/>
        <v>0.6522502375592012</v>
      </c>
      <c r="I1089" s="10"/>
    </row>
    <row r="1090" spans="2:9" x14ac:dyDescent="0.25">
      <c r="B1090" s="10"/>
      <c r="C1090" s="10"/>
      <c r="D1090" s="18">
        <v>1073</v>
      </c>
      <c r="E1090" s="21">
        <f t="shared" si="69"/>
        <v>22411147513</v>
      </c>
      <c r="F1090" s="21">
        <f t="shared" si="66"/>
        <v>11541740969196</v>
      </c>
      <c r="G1090" s="21">
        <f t="shared" si="67"/>
        <v>31228615916</v>
      </c>
      <c r="H1090" s="22">
        <f t="shared" si="68"/>
        <v>0.90887234301771969</v>
      </c>
      <c r="I1090" s="10"/>
    </row>
    <row r="1091" spans="2:9" x14ac:dyDescent="0.25">
      <c r="B1091" s="10"/>
      <c r="C1091" s="10"/>
      <c r="D1091" s="18">
        <v>1074</v>
      </c>
      <c r="E1091" s="21">
        <f t="shared" si="69"/>
        <v>31228615916</v>
      </c>
      <c r="F1091" s="21">
        <f t="shared" si="66"/>
        <v>16082737196741</v>
      </c>
      <c r="G1091" s="21">
        <f t="shared" si="67"/>
        <v>2379640517</v>
      </c>
      <c r="H1091" s="22">
        <f t="shared" si="68"/>
        <v>6.9256654154742137E-2</v>
      </c>
      <c r="I1091" s="10"/>
    </row>
    <row r="1092" spans="2:9" x14ac:dyDescent="0.25">
      <c r="B1092" s="10"/>
      <c r="C1092" s="10"/>
      <c r="D1092" s="18">
        <v>1075</v>
      </c>
      <c r="E1092" s="21">
        <f t="shared" si="69"/>
        <v>2379640517</v>
      </c>
      <c r="F1092" s="21">
        <f t="shared" si="66"/>
        <v>1225514866256</v>
      </c>
      <c r="G1092" s="21">
        <f t="shared" si="67"/>
        <v>22924023376</v>
      </c>
      <c r="H1092" s="22">
        <f t="shared" si="68"/>
        <v>0.66717688972130418</v>
      </c>
      <c r="I1092" s="10"/>
    </row>
    <row r="1093" spans="2:9" x14ac:dyDescent="0.25">
      <c r="B1093" s="10"/>
      <c r="C1093" s="10"/>
      <c r="D1093" s="18">
        <v>1076</v>
      </c>
      <c r="E1093" s="21">
        <f t="shared" si="69"/>
        <v>22924023376</v>
      </c>
      <c r="F1093" s="21">
        <f t="shared" si="66"/>
        <v>11805872038641</v>
      </c>
      <c r="G1093" s="21">
        <f t="shared" si="67"/>
        <v>20481778417</v>
      </c>
      <c r="H1093" s="22">
        <f t="shared" si="68"/>
        <v>0.59609820650075562</v>
      </c>
      <c r="I1093" s="10"/>
    </row>
    <row r="1094" spans="2:9" x14ac:dyDescent="0.25">
      <c r="B1094" s="10"/>
      <c r="C1094" s="10"/>
      <c r="D1094" s="18">
        <v>1077</v>
      </c>
      <c r="E1094" s="21">
        <f t="shared" si="69"/>
        <v>20481778417</v>
      </c>
      <c r="F1094" s="21">
        <f t="shared" si="66"/>
        <v>10548115884756</v>
      </c>
      <c r="G1094" s="21">
        <f t="shared" si="67"/>
        <v>34035944148</v>
      </c>
      <c r="H1094" s="22">
        <f t="shared" si="68"/>
        <v>0.99057634791824967</v>
      </c>
      <c r="I1094" s="10"/>
    </row>
    <row r="1095" spans="2:9" x14ac:dyDescent="0.25">
      <c r="B1095" s="10"/>
      <c r="C1095" s="10"/>
      <c r="D1095" s="18">
        <v>1078</v>
      </c>
      <c r="E1095" s="21">
        <f t="shared" si="69"/>
        <v>34035944148</v>
      </c>
      <c r="F1095" s="21">
        <f t="shared" si="66"/>
        <v>17528511236221</v>
      </c>
      <c r="G1095" s="21">
        <f t="shared" si="67"/>
        <v>5044668541</v>
      </c>
      <c r="H1095" s="22">
        <f t="shared" si="68"/>
        <v>0.14681917792768218</v>
      </c>
      <c r="I1095" s="10"/>
    </row>
    <row r="1096" spans="2:9" x14ac:dyDescent="0.25">
      <c r="B1096" s="10"/>
      <c r="C1096" s="10"/>
      <c r="D1096" s="18">
        <v>1079</v>
      </c>
      <c r="E1096" s="21">
        <f t="shared" si="69"/>
        <v>5044668541</v>
      </c>
      <c r="F1096" s="21">
        <f t="shared" si="66"/>
        <v>2598004298616</v>
      </c>
      <c r="G1096" s="21">
        <f t="shared" si="67"/>
        <v>21023921016</v>
      </c>
      <c r="H1096" s="22">
        <f t="shared" si="68"/>
        <v>0.61187663278542459</v>
      </c>
      <c r="I1096" s="10"/>
    </row>
    <row r="1097" spans="2:9" x14ac:dyDescent="0.25">
      <c r="B1097" s="10"/>
      <c r="C1097" s="10"/>
      <c r="D1097" s="18">
        <v>1080</v>
      </c>
      <c r="E1097" s="21">
        <f t="shared" si="69"/>
        <v>21023921016</v>
      </c>
      <c r="F1097" s="21">
        <f t="shared" si="66"/>
        <v>10827319323241</v>
      </c>
      <c r="G1097" s="21">
        <f t="shared" si="67"/>
        <v>4001737321</v>
      </c>
      <c r="H1097" s="22">
        <f t="shared" si="68"/>
        <v>0.11646588452276774</v>
      </c>
      <c r="I1097" s="10"/>
    </row>
    <row r="1098" spans="2:9" x14ac:dyDescent="0.25">
      <c r="B1098" s="10"/>
      <c r="C1098" s="10"/>
      <c r="D1098" s="18">
        <v>1081</v>
      </c>
      <c r="E1098" s="21">
        <f t="shared" si="69"/>
        <v>4001737321</v>
      </c>
      <c r="F1098" s="21">
        <f t="shared" si="66"/>
        <v>2060894720316</v>
      </c>
      <c r="G1098" s="21">
        <f t="shared" si="67"/>
        <v>33670156604</v>
      </c>
      <c r="H1098" s="22">
        <f t="shared" si="68"/>
        <v>0.97993052925448865</v>
      </c>
      <c r="I1098" s="10"/>
    </row>
    <row r="1099" spans="2:9" x14ac:dyDescent="0.25">
      <c r="B1099" s="10"/>
      <c r="C1099" s="10"/>
      <c r="D1099" s="18">
        <v>1082</v>
      </c>
      <c r="E1099" s="21">
        <f t="shared" si="69"/>
        <v>33670156604</v>
      </c>
      <c r="F1099" s="21">
        <f t="shared" si="66"/>
        <v>17340130651061</v>
      </c>
      <c r="G1099" s="21">
        <f t="shared" si="67"/>
        <v>22822513589</v>
      </c>
      <c r="H1099" s="22">
        <f t="shared" si="68"/>
        <v>0.66422256609075703</v>
      </c>
      <c r="I1099" s="10"/>
    </row>
    <row r="1100" spans="2:9" x14ac:dyDescent="0.25">
      <c r="B1100" s="10"/>
      <c r="C1100" s="10"/>
      <c r="D1100" s="18">
        <v>1083</v>
      </c>
      <c r="E1100" s="21">
        <f t="shared" si="69"/>
        <v>22822513589</v>
      </c>
      <c r="F1100" s="21">
        <f t="shared" si="66"/>
        <v>11753594498336</v>
      </c>
      <c r="G1100" s="21">
        <f t="shared" si="67"/>
        <v>2563976480</v>
      </c>
      <c r="H1100" s="22">
        <f t="shared" si="68"/>
        <v>7.4621536768972874E-2</v>
      </c>
      <c r="I1100" s="10"/>
    </row>
    <row r="1101" spans="2:9" x14ac:dyDescent="0.25">
      <c r="B1101" s="10"/>
      <c r="C1101" s="10"/>
      <c r="D1101" s="18">
        <v>1084</v>
      </c>
      <c r="E1101" s="21">
        <f t="shared" si="69"/>
        <v>2563976480</v>
      </c>
      <c r="F1101" s="21">
        <f t="shared" si="66"/>
        <v>1320447887201</v>
      </c>
      <c r="G1101" s="21">
        <f t="shared" si="67"/>
        <v>14777829217</v>
      </c>
      <c r="H1101" s="22">
        <f t="shared" si="68"/>
        <v>0.43009143605013378</v>
      </c>
      <c r="I1101" s="10"/>
    </row>
    <row r="1102" spans="2:9" x14ac:dyDescent="0.25">
      <c r="B1102" s="10"/>
      <c r="C1102" s="10"/>
      <c r="D1102" s="18">
        <v>1085</v>
      </c>
      <c r="E1102" s="21">
        <f t="shared" si="69"/>
        <v>14777829217</v>
      </c>
      <c r="F1102" s="21">
        <f t="shared" si="66"/>
        <v>7610582046756</v>
      </c>
      <c r="G1102" s="21">
        <f t="shared" si="67"/>
        <v>17079867428</v>
      </c>
      <c r="H1102" s="22">
        <f t="shared" si="68"/>
        <v>0.49708956584800035</v>
      </c>
      <c r="I1102" s="10"/>
    </row>
    <row r="1103" spans="2:9" x14ac:dyDescent="0.25">
      <c r="B1103" s="10"/>
      <c r="C1103" s="10"/>
      <c r="D1103" s="18">
        <v>1086</v>
      </c>
      <c r="E1103" s="21">
        <f t="shared" si="69"/>
        <v>17079867428</v>
      </c>
      <c r="F1103" s="21">
        <f t="shared" si="66"/>
        <v>8796131725421</v>
      </c>
      <c r="G1103" s="21">
        <f t="shared" si="67"/>
        <v>38703213</v>
      </c>
      <c r="H1103" s="22">
        <f t="shared" si="68"/>
        <v>1.1264117492828518E-3</v>
      </c>
      <c r="I1103" s="10"/>
    </row>
    <row r="1104" spans="2:9" x14ac:dyDescent="0.25">
      <c r="B1104" s="10"/>
      <c r="C1104" s="10"/>
      <c r="D1104" s="18">
        <v>1087</v>
      </c>
      <c r="E1104" s="21">
        <f t="shared" si="69"/>
        <v>38703213</v>
      </c>
      <c r="F1104" s="21">
        <f t="shared" si="66"/>
        <v>19932154696</v>
      </c>
      <c r="G1104" s="21">
        <f t="shared" si="67"/>
        <v>19932154696</v>
      </c>
      <c r="H1104" s="22">
        <f t="shared" si="68"/>
        <v>0.58010205090977252</v>
      </c>
      <c r="I1104" s="10"/>
    </row>
    <row r="1105" spans="2:9" x14ac:dyDescent="0.25">
      <c r="B1105" s="10"/>
      <c r="C1105" s="10"/>
      <c r="D1105" s="18">
        <v>1088</v>
      </c>
      <c r="E1105" s="21">
        <f t="shared" si="69"/>
        <v>19932154696</v>
      </c>
      <c r="F1105" s="21">
        <f t="shared" si="66"/>
        <v>10265059668441</v>
      </c>
      <c r="G1105" s="21">
        <f t="shared" si="67"/>
        <v>25857634777</v>
      </c>
      <c r="H1105" s="22">
        <f t="shared" si="68"/>
        <v>0.75255621856194921</v>
      </c>
      <c r="I1105" s="10"/>
    </row>
    <row r="1106" spans="2:9" x14ac:dyDescent="0.25">
      <c r="B1106" s="10"/>
      <c r="C1106" s="10"/>
      <c r="D1106" s="18">
        <v>1089</v>
      </c>
      <c r="E1106" s="21">
        <f t="shared" si="69"/>
        <v>25857634777</v>
      </c>
      <c r="F1106" s="21">
        <f t="shared" si="66"/>
        <v>13316681910156</v>
      </c>
      <c r="G1106" s="21">
        <f t="shared" si="67"/>
        <v>19463161740</v>
      </c>
      <c r="H1106" s="22">
        <f t="shared" si="68"/>
        <v>0.56645255943294615</v>
      </c>
      <c r="I1106" s="10"/>
    </row>
    <row r="1107" spans="2:9" x14ac:dyDescent="0.25">
      <c r="B1107" s="10"/>
      <c r="C1107" s="10"/>
      <c r="D1107" s="18">
        <v>1090</v>
      </c>
      <c r="E1107" s="21">
        <f t="shared" si="69"/>
        <v>19463161740</v>
      </c>
      <c r="F1107" s="21">
        <f t="shared" ref="F1107:F1170" si="70">E$7 * E1107 + H$7</f>
        <v>10023528296101</v>
      </c>
      <c r="G1107" s="21">
        <f t="shared" ref="G1107:G1170" si="71">MOD(F1107,F$7)</f>
        <v>24844431013</v>
      </c>
      <c r="H1107" s="22">
        <f t="shared" ref="H1107:H1170" si="72">G1107/F$7</f>
        <v>0.72306810799636878</v>
      </c>
      <c r="I1107" s="10"/>
    </row>
    <row r="1108" spans="2:9" x14ac:dyDescent="0.25">
      <c r="B1108" s="10"/>
      <c r="C1108" s="10"/>
      <c r="D1108" s="18">
        <v>1091</v>
      </c>
      <c r="E1108" s="21">
        <f t="shared" si="69"/>
        <v>24844431013</v>
      </c>
      <c r="F1108" s="21">
        <f t="shared" si="70"/>
        <v>12794881971696</v>
      </c>
      <c r="G1108" s="21">
        <f t="shared" si="71"/>
        <v>13059298800</v>
      </c>
      <c r="H1108" s="22">
        <f t="shared" si="72"/>
        <v>0.38007561815902591</v>
      </c>
      <c r="I1108" s="10"/>
    </row>
    <row r="1109" spans="2:9" x14ac:dyDescent="0.25">
      <c r="B1109" s="10"/>
      <c r="C1109" s="10"/>
      <c r="D1109" s="18">
        <v>1092</v>
      </c>
      <c r="E1109" s="21">
        <f t="shared" si="69"/>
        <v>13059298800</v>
      </c>
      <c r="F1109" s="21">
        <f t="shared" si="70"/>
        <v>6725538882001</v>
      </c>
      <c r="G1109" s="21">
        <f t="shared" si="71"/>
        <v>25389900241</v>
      </c>
      <c r="H1109" s="22">
        <f t="shared" si="72"/>
        <v>0.7389433519274462</v>
      </c>
      <c r="I1109" s="10"/>
    </row>
    <row r="1110" spans="2:9" x14ac:dyDescent="0.25">
      <c r="B1110" s="10"/>
      <c r="C1110" s="10"/>
      <c r="D1110" s="18">
        <v>1093</v>
      </c>
      <c r="E1110" s="21">
        <f t="shared" si="69"/>
        <v>25389900241</v>
      </c>
      <c r="F1110" s="21">
        <f t="shared" si="70"/>
        <v>13075798624116</v>
      </c>
      <c r="G1110" s="21">
        <f t="shared" si="71"/>
        <v>19098044276</v>
      </c>
      <c r="H1110" s="22">
        <f t="shared" si="72"/>
        <v>0.55582624266389757</v>
      </c>
      <c r="I1110" s="10"/>
    </row>
    <row r="1111" spans="2:9" x14ac:dyDescent="0.25">
      <c r="B1111" s="10"/>
      <c r="C1111" s="10"/>
      <c r="D1111" s="18">
        <v>1094</v>
      </c>
      <c r="E1111" s="21">
        <f t="shared" si="69"/>
        <v>19098044276</v>
      </c>
      <c r="F1111" s="21">
        <f t="shared" si="70"/>
        <v>9835492802141</v>
      </c>
      <c r="G1111" s="21">
        <f t="shared" si="71"/>
        <v>8607628893</v>
      </c>
      <c r="H1111" s="22">
        <f t="shared" si="72"/>
        <v>0.25051497193635441</v>
      </c>
      <c r="I1111" s="10"/>
    </row>
    <row r="1112" spans="2:9" x14ac:dyDescent="0.25">
      <c r="B1112" s="10"/>
      <c r="C1112" s="10"/>
      <c r="D1112" s="18">
        <v>1095</v>
      </c>
      <c r="E1112" s="21">
        <f t="shared" si="69"/>
        <v>8607628893</v>
      </c>
      <c r="F1112" s="21">
        <f t="shared" si="70"/>
        <v>4432928879896</v>
      </c>
      <c r="G1112" s="21">
        <f t="shared" si="71"/>
        <v>522630424</v>
      </c>
      <c r="H1112" s="22">
        <f t="shared" si="72"/>
        <v>1.5210547251626849E-2</v>
      </c>
      <c r="I1112" s="10"/>
    </row>
    <row r="1113" spans="2:9" x14ac:dyDescent="0.25">
      <c r="B1113" s="10"/>
      <c r="C1113" s="10"/>
      <c r="D1113" s="18">
        <v>1096</v>
      </c>
      <c r="E1113" s="21">
        <f t="shared" si="69"/>
        <v>522630424</v>
      </c>
      <c r="F1113" s="21">
        <f t="shared" si="70"/>
        <v>269154668361</v>
      </c>
      <c r="G1113" s="21">
        <f t="shared" si="71"/>
        <v>28636499785</v>
      </c>
      <c r="H1113" s="22">
        <f t="shared" si="72"/>
        <v>0.83343183461693116</v>
      </c>
      <c r="I1113" s="10"/>
    </row>
    <row r="1114" spans="2:9" x14ac:dyDescent="0.25">
      <c r="B1114" s="10"/>
      <c r="C1114" s="10"/>
      <c r="D1114" s="18">
        <v>1097</v>
      </c>
      <c r="E1114" s="21">
        <f t="shared" si="69"/>
        <v>28636499785</v>
      </c>
      <c r="F1114" s="21">
        <f t="shared" si="70"/>
        <v>14747797389276</v>
      </c>
      <c r="G1114" s="21">
        <f t="shared" si="71"/>
        <v>7469629404</v>
      </c>
      <c r="H1114" s="22">
        <f t="shared" si="72"/>
        <v>0.21739482774864882</v>
      </c>
      <c r="I1114" s="10"/>
    </row>
    <row r="1115" spans="2:9" x14ac:dyDescent="0.25">
      <c r="B1115" s="10"/>
      <c r="C1115" s="10"/>
      <c r="D1115" s="18">
        <v>1098</v>
      </c>
      <c r="E1115" s="21">
        <f t="shared" si="69"/>
        <v>7469629404</v>
      </c>
      <c r="F1115" s="21">
        <f t="shared" si="70"/>
        <v>3846859143061</v>
      </c>
      <c r="G1115" s="21">
        <f t="shared" si="71"/>
        <v>32928184213</v>
      </c>
      <c r="H1115" s="22">
        <f t="shared" si="72"/>
        <v>0.95833629058324732</v>
      </c>
      <c r="I1115" s="10"/>
    </row>
    <row r="1116" spans="2:9" x14ac:dyDescent="0.25">
      <c r="B1116" s="10"/>
      <c r="C1116" s="10"/>
      <c r="D1116" s="18">
        <v>1099</v>
      </c>
      <c r="E1116" s="21">
        <f t="shared" si="69"/>
        <v>32928184213</v>
      </c>
      <c r="F1116" s="21">
        <f t="shared" si="70"/>
        <v>16958014869696</v>
      </c>
      <c r="G1116" s="21">
        <f t="shared" si="71"/>
        <v>18663854272</v>
      </c>
      <c r="H1116" s="22">
        <f t="shared" si="72"/>
        <v>0.54318965040147305</v>
      </c>
      <c r="I1116" s="10"/>
    </row>
    <row r="1117" spans="2:9" x14ac:dyDescent="0.25">
      <c r="B1117" s="10"/>
      <c r="C1117" s="10"/>
      <c r="D1117" s="18">
        <v>1100</v>
      </c>
      <c r="E1117" s="21">
        <f t="shared" si="69"/>
        <v>18663854272</v>
      </c>
      <c r="F1117" s="21">
        <f t="shared" si="70"/>
        <v>9611884950081</v>
      </c>
      <c r="G1117" s="21">
        <f t="shared" si="71"/>
        <v>25517945409</v>
      </c>
      <c r="H1117" s="22">
        <f t="shared" si="72"/>
        <v>0.74266995678772219</v>
      </c>
      <c r="I1117" s="10"/>
    </row>
    <row r="1118" spans="2:9" x14ac:dyDescent="0.25">
      <c r="B1118" s="10"/>
      <c r="C1118" s="10"/>
      <c r="D1118" s="18">
        <v>1101</v>
      </c>
      <c r="E1118" s="21">
        <f t="shared" si="69"/>
        <v>25517945409</v>
      </c>
      <c r="F1118" s="21">
        <f t="shared" si="70"/>
        <v>13141741885636</v>
      </c>
      <c r="G1118" s="21">
        <f t="shared" si="71"/>
        <v>16321829060</v>
      </c>
      <c r="H1118" s="22">
        <f t="shared" si="72"/>
        <v>0.47502774570602924</v>
      </c>
      <c r="I1118" s="10"/>
    </row>
    <row r="1119" spans="2:9" x14ac:dyDescent="0.25">
      <c r="B1119" s="10"/>
      <c r="C1119" s="10"/>
      <c r="D1119" s="18">
        <v>1102</v>
      </c>
      <c r="E1119" s="21">
        <f t="shared" si="69"/>
        <v>16321829060</v>
      </c>
      <c r="F1119" s="21">
        <f t="shared" si="70"/>
        <v>8405741965901</v>
      </c>
      <c r="G1119" s="21">
        <f t="shared" si="71"/>
        <v>21965804109</v>
      </c>
      <c r="H1119" s="22">
        <f t="shared" si="72"/>
        <v>0.63928903863416053</v>
      </c>
      <c r="I1119" s="10"/>
    </row>
    <row r="1120" spans="2:9" x14ac:dyDescent="0.25">
      <c r="B1120" s="10"/>
      <c r="C1120" s="10"/>
      <c r="D1120" s="18">
        <v>1103</v>
      </c>
      <c r="E1120" s="21">
        <f t="shared" si="69"/>
        <v>21965804109</v>
      </c>
      <c r="F1120" s="21">
        <f t="shared" si="70"/>
        <v>11312389116136</v>
      </c>
      <c r="G1120" s="21">
        <f t="shared" si="71"/>
        <v>8035193064</v>
      </c>
      <c r="H1120" s="22">
        <f t="shared" si="72"/>
        <v>0.23385489662177861</v>
      </c>
      <c r="I1120" s="10"/>
    </row>
    <row r="1121" spans="2:9" x14ac:dyDescent="0.25">
      <c r="B1121" s="10"/>
      <c r="C1121" s="10"/>
      <c r="D1121" s="18">
        <v>1104</v>
      </c>
      <c r="E1121" s="21">
        <f t="shared" si="69"/>
        <v>8035193064</v>
      </c>
      <c r="F1121" s="21">
        <f t="shared" si="70"/>
        <v>4138124427961</v>
      </c>
      <c r="G1121" s="21">
        <f t="shared" si="71"/>
        <v>14955823801</v>
      </c>
      <c r="H1121" s="22">
        <f t="shared" si="72"/>
        <v>0.43527176024508663</v>
      </c>
      <c r="I1121" s="10"/>
    </row>
    <row r="1122" spans="2:9" x14ac:dyDescent="0.25">
      <c r="B1122" s="10"/>
      <c r="C1122" s="10"/>
      <c r="D1122" s="18">
        <v>1105</v>
      </c>
      <c r="E1122" s="21">
        <f t="shared" si="69"/>
        <v>14955823801</v>
      </c>
      <c r="F1122" s="21">
        <f t="shared" si="70"/>
        <v>7702249257516</v>
      </c>
      <c r="G1122" s="21">
        <f t="shared" si="71"/>
        <v>5667863084</v>
      </c>
      <c r="H1122" s="22">
        <f t="shared" si="72"/>
        <v>0.16495652624871582</v>
      </c>
      <c r="I1122" s="10"/>
    </row>
    <row r="1123" spans="2:9" x14ac:dyDescent="0.25">
      <c r="B1123" s="10"/>
      <c r="C1123" s="10"/>
      <c r="D1123" s="18">
        <v>1106</v>
      </c>
      <c r="E1123" s="21">
        <f t="shared" si="69"/>
        <v>5667863084</v>
      </c>
      <c r="F1123" s="21">
        <f t="shared" si="70"/>
        <v>2918949488261</v>
      </c>
      <c r="G1123" s="21">
        <f t="shared" si="71"/>
        <v>32731465349</v>
      </c>
      <c r="H1123" s="22">
        <f t="shared" si="72"/>
        <v>0.95261101811775006</v>
      </c>
      <c r="I1123" s="10"/>
    </row>
    <row r="1124" spans="2:9" x14ac:dyDescent="0.25">
      <c r="B1124" s="10"/>
      <c r="C1124" s="10"/>
      <c r="D1124" s="18">
        <v>1107</v>
      </c>
      <c r="E1124" s="21">
        <f t="shared" si="69"/>
        <v>32731465349</v>
      </c>
      <c r="F1124" s="21">
        <f t="shared" si="70"/>
        <v>16856704654736</v>
      </c>
      <c r="G1124" s="21">
        <f t="shared" si="71"/>
        <v>20432854416</v>
      </c>
      <c r="H1124" s="22">
        <f t="shared" si="72"/>
        <v>0.59467433067038655</v>
      </c>
      <c r="I1124" s="10"/>
    </row>
    <row r="1125" spans="2:9" x14ac:dyDescent="0.25">
      <c r="B1125" s="10"/>
      <c r="C1125" s="10"/>
      <c r="D1125" s="18">
        <v>1108</v>
      </c>
      <c r="E1125" s="21">
        <f t="shared" si="69"/>
        <v>20432854416</v>
      </c>
      <c r="F1125" s="21">
        <f t="shared" si="70"/>
        <v>10522920024241</v>
      </c>
      <c r="G1125" s="21">
        <f t="shared" si="71"/>
        <v>8840083633</v>
      </c>
      <c r="H1125" s="22">
        <f t="shared" si="72"/>
        <v>0.25728029527817853</v>
      </c>
      <c r="I1125" s="10"/>
    </row>
    <row r="1126" spans="2:9" x14ac:dyDescent="0.25">
      <c r="B1126" s="10"/>
      <c r="C1126" s="10"/>
      <c r="D1126" s="18">
        <v>1109</v>
      </c>
      <c r="E1126" s="21">
        <f t="shared" si="69"/>
        <v>8840083633</v>
      </c>
      <c r="F1126" s="21">
        <f t="shared" si="70"/>
        <v>4552643070996</v>
      </c>
      <c r="G1126" s="21">
        <f t="shared" si="71"/>
        <v>17157606420</v>
      </c>
      <c r="H1126" s="22">
        <f t="shared" si="72"/>
        <v>0.49935206829104573</v>
      </c>
      <c r="I1126" s="10"/>
    </row>
    <row r="1127" spans="2:9" x14ac:dyDescent="0.25">
      <c r="B1127" s="10"/>
      <c r="C1127" s="10"/>
      <c r="D1127" s="18">
        <v>1110</v>
      </c>
      <c r="E1127" s="21">
        <f t="shared" si="69"/>
        <v>17157606420</v>
      </c>
      <c r="F1127" s="21">
        <f t="shared" si="70"/>
        <v>8836167306301</v>
      </c>
      <c r="G1127" s="21">
        <f t="shared" si="71"/>
        <v>5714545725</v>
      </c>
      <c r="H1127" s="22">
        <f t="shared" si="72"/>
        <v>0.16631516991765238</v>
      </c>
      <c r="I1127" s="10"/>
    </row>
    <row r="1128" spans="2:9" x14ac:dyDescent="0.25">
      <c r="B1128" s="10"/>
      <c r="C1128" s="10"/>
      <c r="D1128" s="18">
        <v>1111</v>
      </c>
      <c r="E1128" s="21">
        <f t="shared" si="69"/>
        <v>5714545725</v>
      </c>
      <c r="F1128" s="21">
        <f t="shared" si="70"/>
        <v>2942991048376</v>
      </c>
      <c r="G1128" s="21">
        <f t="shared" si="71"/>
        <v>22413287096</v>
      </c>
      <c r="H1128" s="22">
        <f t="shared" si="72"/>
        <v>0.65231250762008131</v>
      </c>
      <c r="I1128" s="10"/>
    </row>
    <row r="1129" spans="2:9" x14ac:dyDescent="0.25">
      <c r="B1129" s="10"/>
      <c r="C1129" s="10"/>
      <c r="D1129" s="18">
        <v>1112</v>
      </c>
      <c r="E1129" s="21">
        <f t="shared" si="69"/>
        <v>22413287096</v>
      </c>
      <c r="F1129" s="21">
        <f t="shared" si="70"/>
        <v>11542842854441</v>
      </c>
      <c r="G1129" s="21">
        <f t="shared" si="71"/>
        <v>32330501161</v>
      </c>
      <c r="H1129" s="22">
        <f t="shared" si="72"/>
        <v>0.94094142437097616</v>
      </c>
      <c r="I1129" s="10"/>
    </row>
    <row r="1130" spans="2:9" x14ac:dyDescent="0.25">
      <c r="B1130" s="10"/>
      <c r="C1130" s="10"/>
      <c r="D1130" s="18">
        <v>1113</v>
      </c>
      <c r="E1130" s="21">
        <f t="shared" si="69"/>
        <v>32330501161</v>
      </c>
      <c r="F1130" s="21">
        <f t="shared" si="70"/>
        <v>16650208097916</v>
      </c>
      <c r="G1130" s="21">
        <f t="shared" si="71"/>
        <v>20094727804</v>
      </c>
      <c r="H1130" s="22">
        <f t="shared" si="72"/>
        <v>0.58483355108182877</v>
      </c>
      <c r="I1130" s="10"/>
    </row>
    <row r="1131" spans="2:9" x14ac:dyDescent="0.25">
      <c r="B1131" s="10"/>
      <c r="C1131" s="10"/>
      <c r="D1131" s="18">
        <v>1114</v>
      </c>
      <c r="E1131" s="21">
        <f t="shared" si="69"/>
        <v>20094727804</v>
      </c>
      <c r="F1131" s="21">
        <f t="shared" si="70"/>
        <v>10348784819061</v>
      </c>
      <c r="G1131" s="21">
        <f t="shared" si="71"/>
        <v>6503570293</v>
      </c>
      <c r="H1131" s="22">
        <f t="shared" si="72"/>
        <v>0.18927880717092194</v>
      </c>
      <c r="I1131" s="10"/>
    </row>
    <row r="1132" spans="2:9" x14ac:dyDescent="0.25">
      <c r="B1132" s="10"/>
      <c r="C1132" s="10"/>
      <c r="D1132" s="18">
        <v>1115</v>
      </c>
      <c r="E1132" s="21">
        <f t="shared" si="69"/>
        <v>6503570293</v>
      </c>
      <c r="F1132" s="21">
        <f t="shared" si="70"/>
        <v>3349338700896</v>
      </c>
      <c r="G1132" s="21">
        <f t="shared" si="71"/>
        <v>16444079200</v>
      </c>
      <c r="H1132" s="22">
        <f t="shared" si="72"/>
        <v>0.4785856930539012</v>
      </c>
      <c r="I1132" s="10"/>
    </row>
    <row r="1133" spans="2:9" x14ac:dyDescent="0.25">
      <c r="B1133" s="10"/>
      <c r="C1133" s="10"/>
      <c r="D1133" s="18">
        <v>1116</v>
      </c>
      <c r="E1133" s="21">
        <f t="shared" si="69"/>
        <v>16444079200</v>
      </c>
      <c r="F1133" s="21">
        <f t="shared" si="70"/>
        <v>8468700788001</v>
      </c>
      <c r="G1133" s="21">
        <f t="shared" si="71"/>
        <v>16205149473</v>
      </c>
      <c r="H1133" s="22">
        <f t="shared" si="72"/>
        <v>0.47163192278821953</v>
      </c>
      <c r="I1133" s="10"/>
    </row>
    <row r="1134" spans="2:9" x14ac:dyDescent="0.25">
      <c r="B1134" s="10"/>
      <c r="C1134" s="10"/>
      <c r="D1134" s="18">
        <v>1117</v>
      </c>
      <c r="E1134" s="21">
        <f t="shared" si="69"/>
        <v>16205149473</v>
      </c>
      <c r="F1134" s="21">
        <f t="shared" si="70"/>
        <v>8345651978596</v>
      </c>
      <c r="G1134" s="21">
        <f t="shared" si="71"/>
        <v>30595293540</v>
      </c>
      <c r="H1134" s="22">
        <f t="shared" si="72"/>
        <v>0.89044023596215993</v>
      </c>
      <c r="I1134" s="10"/>
    </row>
    <row r="1135" spans="2:9" x14ac:dyDescent="0.25">
      <c r="B1135" s="10"/>
      <c r="C1135" s="10"/>
      <c r="D1135" s="18">
        <v>1118</v>
      </c>
      <c r="E1135" s="21">
        <f t="shared" si="69"/>
        <v>30595293540</v>
      </c>
      <c r="F1135" s="21">
        <f t="shared" si="70"/>
        <v>15756576173101</v>
      </c>
      <c r="G1135" s="21">
        <f t="shared" si="71"/>
        <v>19816000557</v>
      </c>
      <c r="H1135" s="22">
        <f t="shared" si="72"/>
        <v>0.57672152054146864</v>
      </c>
      <c r="I1135" s="10"/>
    </row>
    <row r="1136" spans="2:9" x14ac:dyDescent="0.25">
      <c r="B1136" s="10"/>
      <c r="C1136" s="10"/>
      <c r="D1136" s="18">
        <v>1119</v>
      </c>
      <c r="E1136" s="21">
        <f t="shared" si="69"/>
        <v>19816000557</v>
      </c>
      <c r="F1136" s="21">
        <f t="shared" si="70"/>
        <v>10205240286856</v>
      </c>
      <c r="G1136" s="21">
        <f t="shared" si="71"/>
        <v>397991560</v>
      </c>
      <c r="H1136" s="22">
        <f t="shared" si="72"/>
        <v>1.1583078885450959E-2</v>
      </c>
      <c r="I1136" s="10"/>
    </row>
    <row r="1137" spans="2:9" x14ac:dyDescent="0.25">
      <c r="B1137" s="10"/>
      <c r="C1137" s="10"/>
      <c r="D1137" s="18">
        <v>1120</v>
      </c>
      <c r="E1137" s="21">
        <f t="shared" si="69"/>
        <v>397991560</v>
      </c>
      <c r="F1137" s="21">
        <f t="shared" si="70"/>
        <v>204965653401</v>
      </c>
      <c r="G1137" s="21">
        <f t="shared" si="71"/>
        <v>33166961561</v>
      </c>
      <c r="H1137" s="22">
        <f t="shared" si="72"/>
        <v>0.96528562603634782</v>
      </c>
      <c r="I1137" s="10"/>
    </row>
    <row r="1138" spans="2:9" x14ac:dyDescent="0.25">
      <c r="B1138" s="10"/>
      <c r="C1138" s="10"/>
      <c r="D1138" s="18">
        <v>1121</v>
      </c>
      <c r="E1138" s="21">
        <f t="shared" si="69"/>
        <v>33166961561</v>
      </c>
      <c r="F1138" s="21">
        <f t="shared" si="70"/>
        <v>17080985203916</v>
      </c>
      <c r="G1138" s="21">
        <f t="shared" si="71"/>
        <v>4195235020</v>
      </c>
      <c r="H1138" s="22">
        <f t="shared" si="72"/>
        <v>0.12209740874823183</v>
      </c>
      <c r="I1138" s="10"/>
    </row>
    <row r="1139" spans="2:9" x14ac:dyDescent="0.25">
      <c r="B1139" s="10"/>
      <c r="C1139" s="10"/>
      <c r="D1139" s="18">
        <v>1122</v>
      </c>
      <c r="E1139" s="21">
        <f t="shared" si="69"/>
        <v>4195235020</v>
      </c>
      <c r="F1139" s="21">
        <f t="shared" si="70"/>
        <v>2160546035301</v>
      </c>
      <c r="G1139" s="21">
        <f t="shared" si="71"/>
        <v>30242256485</v>
      </c>
      <c r="H1139" s="22">
        <f t="shared" si="72"/>
        <v>0.88016550536849536</v>
      </c>
      <c r="I1139" s="10"/>
    </row>
    <row r="1140" spans="2:9" x14ac:dyDescent="0.25">
      <c r="B1140" s="10"/>
      <c r="C1140" s="10"/>
      <c r="D1140" s="18">
        <v>1123</v>
      </c>
      <c r="E1140" s="21">
        <f t="shared" si="69"/>
        <v>30242256485</v>
      </c>
      <c r="F1140" s="21">
        <f t="shared" si="70"/>
        <v>15574762089776</v>
      </c>
      <c r="G1140" s="21">
        <f t="shared" si="71"/>
        <v>9800609072</v>
      </c>
      <c r="H1140" s="22">
        <f t="shared" si="72"/>
        <v>0.28523526480421424</v>
      </c>
      <c r="I1140" s="10"/>
    </row>
    <row r="1141" spans="2:9" x14ac:dyDescent="0.25">
      <c r="B1141" s="10"/>
      <c r="C1141" s="10"/>
      <c r="D1141" s="18">
        <v>1124</v>
      </c>
      <c r="E1141" s="21">
        <f t="shared" si="69"/>
        <v>9800609072</v>
      </c>
      <c r="F1141" s="21">
        <f t="shared" si="70"/>
        <v>5047313672081</v>
      </c>
      <c r="G1141" s="21">
        <f t="shared" si="71"/>
        <v>30791870353</v>
      </c>
      <c r="H1141" s="22">
        <f t="shared" si="72"/>
        <v>0.89616137419943698</v>
      </c>
      <c r="I1141" s="10"/>
    </row>
    <row r="1142" spans="2:9" x14ac:dyDescent="0.25">
      <c r="B1142" s="10"/>
      <c r="C1142" s="10"/>
      <c r="D1142" s="18">
        <v>1125</v>
      </c>
      <c r="E1142" s="21">
        <f t="shared" ref="E1142:E1205" si="73">G1141</f>
        <v>30791870353</v>
      </c>
      <c r="F1142" s="21">
        <f t="shared" si="70"/>
        <v>15857813231796</v>
      </c>
      <c r="G1142" s="21">
        <f t="shared" si="71"/>
        <v>17973844148</v>
      </c>
      <c r="H1142" s="22">
        <f t="shared" si="72"/>
        <v>0.52310771273914725</v>
      </c>
      <c r="I1142" s="10"/>
    </row>
    <row r="1143" spans="2:9" x14ac:dyDescent="0.25">
      <c r="B1143" s="10"/>
      <c r="C1143" s="10"/>
      <c r="D1143" s="18">
        <v>1126</v>
      </c>
      <c r="E1143" s="21">
        <f t="shared" si="73"/>
        <v>17973844148</v>
      </c>
      <c r="F1143" s="21">
        <f t="shared" si="70"/>
        <v>9256529736221</v>
      </c>
      <c r="G1143" s="21">
        <f t="shared" si="71"/>
        <v>13760115229</v>
      </c>
      <c r="H1143" s="22">
        <f t="shared" si="72"/>
        <v>0.40047206068993546</v>
      </c>
      <c r="I1143" s="10"/>
    </row>
    <row r="1144" spans="2:9" x14ac:dyDescent="0.25">
      <c r="B1144" s="10"/>
      <c r="C1144" s="10"/>
      <c r="D1144" s="18">
        <v>1127</v>
      </c>
      <c r="E1144" s="21">
        <f t="shared" si="73"/>
        <v>13760115229</v>
      </c>
      <c r="F1144" s="21">
        <f t="shared" si="70"/>
        <v>7086459342936</v>
      </c>
      <c r="G1144" s="21">
        <f t="shared" si="71"/>
        <v>8353239128</v>
      </c>
      <c r="H1144" s="22">
        <f t="shared" si="72"/>
        <v>0.24311125534586608</v>
      </c>
      <c r="I1144" s="10"/>
    </row>
    <row r="1145" spans="2:9" x14ac:dyDescent="0.25">
      <c r="B1145" s="10"/>
      <c r="C1145" s="10"/>
      <c r="D1145" s="18">
        <v>1128</v>
      </c>
      <c r="E1145" s="21">
        <f t="shared" si="73"/>
        <v>8353239128</v>
      </c>
      <c r="F1145" s="21">
        <f t="shared" si="70"/>
        <v>4301918150921</v>
      </c>
      <c r="G1145" s="21">
        <f t="shared" si="71"/>
        <v>6950854921</v>
      </c>
      <c r="H1145" s="22">
        <f t="shared" si="72"/>
        <v>0.20229650315013714</v>
      </c>
      <c r="I1145" s="10"/>
    </row>
    <row r="1146" spans="2:9" x14ac:dyDescent="0.25">
      <c r="B1146" s="10"/>
      <c r="C1146" s="10"/>
      <c r="D1146" s="18">
        <v>1129</v>
      </c>
      <c r="E1146" s="21">
        <f t="shared" si="73"/>
        <v>6950854921</v>
      </c>
      <c r="F1146" s="21">
        <f t="shared" si="70"/>
        <v>3579690284316</v>
      </c>
      <c r="G1146" s="21">
        <f t="shared" si="71"/>
        <v>6277494044</v>
      </c>
      <c r="H1146" s="22">
        <f t="shared" si="72"/>
        <v>0.18269912234973162</v>
      </c>
      <c r="I1146" s="10"/>
    </row>
    <row r="1147" spans="2:9" x14ac:dyDescent="0.25">
      <c r="B1147" s="10"/>
      <c r="C1147" s="10"/>
      <c r="D1147" s="18">
        <v>1130</v>
      </c>
      <c r="E1147" s="21">
        <f t="shared" si="73"/>
        <v>6277494044</v>
      </c>
      <c r="F1147" s="21">
        <f t="shared" si="70"/>
        <v>3232909432661</v>
      </c>
      <c r="G1147" s="21">
        <f t="shared" si="71"/>
        <v>3094026069</v>
      </c>
      <c r="H1147" s="22">
        <f t="shared" si="72"/>
        <v>9.0048010140890256E-2</v>
      </c>
      <c r="I1147" s="10"/>
    </row>
    <row r="1148" spans="2:9" x14ac:dyDescent="0.25">
      <c r="B1148" s="10"/>
      <c r="C1148" s="10"/>
      <c r="D1148" s="18">
        <v>1131</v>
      </c>
      <c r="E1148" s="21">
        <f t="shared" si="73"/>
        <v>3094026069</v>
      </c>
      <c r="F1148" s="21">
        <f t="shared" si="70"/>
        <v>1593423425536</v>
      </c>
      <c r="G1148" s="21">
        <f t="shared" si="71"/>
        <v>12875460608</v>
      </c>
      <c r="H1148" s="22">
        <f t="shared" si="72"/>
        <v>0.37472522258758545</v>
      </c>
      <c r="I1148" s="10"/>
    </row>
    <row r="1149" spans="2:9" x14ac:dyDescent="0.25">
      <c r="B1149" s="10"/>
      <c r="C1149" s="10"/>
      <c r="D1149" s="18">
        <v>1132</v>
      </c>
      <c r="E1149" s="21">
        <f t="shared" si="73"/>
        <v>12875460608</v>
      </c>
      <c r="F1149" s="21">
        <f t="shared" si="70"/>
        <v>6630862213121</v>
      </c>
      <c r="G1149" s="21">
        <f t="shared" si="71"/>
        <v>33792446465</v>
      </c>
      <c r="H1149" s="22">
        <f t="shared" si="72"/>
        <v>0.98348963263561018</v>
      </c>
      <c r="I1149" s="10"/>
    </row>
    <row r="1150" spans="2:9" x14ac:dyDescent="0.25">
      <c r="B1150" s="10"/>
      <c r="C1150" s="10"/>
      <c r="D1150" s="18">
        <v>1133</v>
      </c>
      <c r="E1150" s="21">
        <f t="shared" si="73"/>
        <v>33792446465</v>
      </c>
      <c r="F1150" s="21">
        <f t="shared" si="70"/>
        <v>17403109929476</v>
      </c>
      <c r="G1150" s="21">
        <f t="shared" si="71"/>
        <v>17082315268</v>
      </c>
      <c r="H1150" s="22">
        <f t="shared" si="72"/>
        <v>0.49716080736834556</v>
      </c>
      <c r="I1150" s="10"/>
    </row>
    <row r="1151" spans="2:9" x14ac:dyDescent="0.25">
      <c r="B1151" s="10"/>
      <c r="C1151" s="10"/>
      <c r="D1151" s="18">
        <v>1134</v>
      </c>
      <c r="E1151" s="21">
        <f t="shared" si="73"/>
        <v>17082315268</v>
      </c>
      <c r="F1151" s="21">
        <f t="shared" si="70"/>
        <v>8797392363021</v>
      </c>
      <c r="G1151" s="21">
        <f t="shared" si="71"/>
        <v>1299340813</v>
      </c>
      <c r="H1151" s="22">
        <f t="shared" si="72"/>
        <v>3.7815794727066532E-2</v>
      </c>
      <c r="I1151" s="10"/>
    </row>
    <row r="1152" spans="2:9" x14ac:dyDescent="0.25">
      <c r="B1152" s="10"/>
      <c r="C1152" s="10"/>
      <c r="D1152" s="18">
        <v>1135</v>
      </c>
      <c r="E1152" s="21">
        <f t="shared" si="73"/>
        <v>1299340813</v>
      </c>
      <c r="F1152" s="21">
        <f t="shared" si="70"/>
        <v>669160518696</v>
      </c>
      <c r="G1152" s="21">
        <f t="shared" si="71"/>
        <v>16325489704</v>
      </c>
      <c r="H1152" s="22">
        <f t="shared" si="72"/>
        <v>0.4751342844683677</v>
      </c>
      <c r="I1152" s="10"/>
    </row>
    <row r="1153" spans="2:9" x14ac:dyDescent="0.25">
      <c r="B1153" s="10"/>
      <c r="C1153" s="10"/>
      <c r="D1153" s="18">
        <v>1136</v>
      </c>
      <c r="E1153" s="21">
        <f t="shared" si="73"/>
        <v>16325489704</v>
      </c>
      <c r="F1153" s="21">
        <f t="shared" si="70"/>
        <v>8407627197561</v>
      </c>
      <c r="G1153" s="21">
        <f t="shared" si="71"/>
        <v>23851035769</v>
      </c>
      <c r="H1153" s="22">
        <f t="shared" si="72"/>
        <v>0.69415650123846717</v>
      </c>
      <c r="I1153" s="10"/>
    </row>
    <row r="1154" spans="2:9" x14ac:dyDescent="0.25">
      <c r="B1154" s="10"/>
      <c r="C1154" s="10"/>
      <c r="D1154" s="18">
        <v>1137</v>
      </c>
      <c r="E1154" s="21">
        <f t="shared" si="73"/>
        <v>23851035769</v>
      </c>
      <c r="F1154" s="21">
        <f t="shared" si="70"/>
        <v>12283283421036</v>
      </c>
      <c r="G1154" s="21">
        <f t="shared" si="71"/>
        <v>16856823660</v>
      </c>
      <c r="H1154" s="22">
        <f t="shared" si="72"/>
        <v>0.4905981378396973</v>
      </c>
      <c r="I1154" s="10"/>
    </row>
    <row r="1155" spans="2:9" x14ac:dyDescent="0.25">
      <c r="B1155" s="10"/>
      <c r="C1155" s="10"/>
      <c r="D1155" s="18">
        <v>1138</v>
      </c>
      <c r="E1155" s="21">
        <f t="shared" si="73"/>
        <v>16856823660</v>
      </c>
      <c r="F1155" s="21">
        <f t="shared" si="70"/>
        <v>8681264184901</v>
      </c>
      <c r="G1155" s="21">
        <f t="shared" si="71"/>
        <v>22610116165</v>
      </c>
      <c r="H1155" s="22">
        <f t="shared" si="72"/>
        <v>0.65804098747321405</v>
      </c>
      <c r="I1155" s="10"/>
    </row>
    <row r="1156" spans="2:9" x14ac:dyDescent="0.25">
      <c r="B1156" s="10"/>
      <c r="C1156" s="10"/>
      <c r="D1156" s="18">
        <v>1139</v>
      </c>
      <c r="E1156" s="21">
        <f t="shared" si="73"/>
        <v>22610116165</v>
      </c>
      <c r="F1156" s="21">
        <f t="shared" si="70"/>
        <v>11644209824976</v>
      </c>
      <c r="G1156" s="21">
        <f t="shared" si="71"/>
        <v>30618256592</v>
      </c>
      <c r="H1156" s="22">
        <f t="shared" si="72"/>
        <v>0.89110854873433709</v>
      </c>
      <c r="I1156" s="10"/>
    </row>
    <row r="1157" spans="2:9" x14ac:dyDescent="0.25">
      <c r="B1157" s="10"/>
      <c r="C1157" s="10"/>
      <c r="D1157" s="18">
        <v>1140</v>
      </c>
      <c r="E1157" s="21">
        <f t="shared" si="73"/>
        <v>30618256592</v>
      </c>
      <c r="F1157" s="21">
        <f t="shared" si="70"/>
        <v>15768402144881</v>
      </c>
      <c r="G1157" s="21">
        <f t="shared" si="71"/>
        <v>31641972337</v>
      </c>
      <c r="H1157" s="22">
        <f t="shared" si="72"/>
        <v>0.92090259821270593</v>
      </c>
      <c r="I1157" s="10"/>
    </row>
    <row r="1158" spans="2:9" x14ac:dyDescent="0.25">
      <c r="B1158" s="10"/>
      <c r="C1158" s="10"/>
      <c r="D1158" s="18">
        <v>1141</v>
      </c>
      <c r="E1158" s="21">
        <f t="shared" si="73"/>
        <v>31641972337</v>
      </c>
      <c r="F1158" s="21">
        <f t="shared" si="70"/>
        <v>16295615753556</v>
      </c>
      <c r="G1158" s="21">
        <f t="shared" si="71"/>
        <v>9099767124</v>
      </c>
      <c r="H1158" s="22">
        <f t="shared" si="72"/>
        <v>0.26483807957265526</v>
      </c>
      <c r="I1158" s="10"/>
    </row>
    <row r="1159" spans="2:9" x14ac:dyDescent="0.25">
      <c r="B1159" s="10"/>
      <c r="C1159" s="10"/>
      <c r="D1159" s="18">
        <v>1142</v>
      </c>
      <c r="E1159" s="21">
        <f t="shared" si="73"/>
        <v>9099767124</v>
      </c>
      <c r="F1159" s="21">
        <f t="shared" si="70"/>
        <v>4686380068861</v>
      </c>
      <c r="G1159" s="21">
        <f t="shared" si="71"/>
        <v>13455650813</v>
      </c>
      <c r="H1159" s="22">
        <f t="shared" si="72"/>
        <v>0.39161097994656302</v>
      </c>
      <c r="I1159" s="10"/>
    </row>
    <row r="1160" spans="2:9" x14ac:dyDescent="0.25">
      <c r="B1160" s="10"/>
      <c r="C1160" s="10"/>
      <c r="D1160" s="18">
        <v>1143</v>
      </c>
      <c r="E1160" s="21">
        <f t="shared" si="73"/>
        <v>13455650813</v>
      </c>
      <c r="F1160" s="21">
        <f t="shared" si="70"/>
        <v>6929660168696</v>
      </c>
      <c r="G1160" s="21">
        <f t="shared" si="71"/>
        <v>23352756728</v>
      </c>
      <c r="H1160" s="22">
        <f t="shared" si="72"/>
        <v>0.67965467250905931</v>
      </c>
      <c r="I1160" s="10"/>
    </row>
    <row r="1161" spans="2:9" x14ac:dyDescent="0.25">
      <c r="B1161" s="10"/>
      <c r="C1161" s="10"/>
      <c r="D1161" s="18">
        <v>1144</v>
      </c>
      <c r="E1161" s="21">
        <f t="shared" si="73"/>
        <v>23352756728</v>
      </c>
      <c r="F1161" s="21">
        <f t="shared" si="70"/>
        <v>12026669714921</v>
      </c>
      <c r="G1161" s="21">
        <f t="shared" si="71"/>
        <v>761286121</v>
      </c>
      <c r="H1161" s="22">
        <f t="shared" si="72"/>
        <v>2.215634219464846E-2</v>
      </c>
      <c r="I1161" s="10"/>
    </row>
    <row r="1162" spans="2:9" x14ac:dyDescent="0.25">
      <c r="B1162" s="10"/>
      <c r="C1162" s="10"/>
      <c r="D1162" s="18">
        <v>1145</v>
      </c>
      <c r="E1162" s="21">
        <f t="shared" si="73"/>
        <v>761286121</v>
      </c>
      <c r="F1162" s="21">
        <f t="shared" si="70"/>
        <v>392062352316</v>
      </c>
      <c r="G1162" s="21">
        <f t="shared" si="71"/>
        <v>14105230268</v>
      </c>
      <c r="H1162" s="22">
        <f t="shared" si="72"/>
        <v>0.4105162302730605</v>
      </c>
      <c r="I1162" s="10"/>
    </row>
    <row r="1163" spans="2:9" x14ac:dyDescent="0.25">
      <c r="B1163" s="10"/>
      <c r="C1163" s="10"/>
      <c r="D1163" s="18">
        <v>1146</v>
      </c>
      <c r="E1163" s="21">
        <f t="shared" si="73"/>
        <v>14105230268</v>
      </c>
      <c r="F1163" s="21">
        <f t="shared" si="70"/>
        <v>7264193588021</v>
      </c>
      <c r="G1163" s="21">
        <f t="shared" si="71"/>
        <v>14288792373</v>
      </c>
      <c r="H1163" s="22">
        <f t="shared" si="72"/>
        <v>0.41585859065526165</v>
      </c>
      <c r="I1163" s="10"/>
    </row>
    <row r="1164" spans="2:9" x14ac:dyDescent="0.25">
      <c r="B1164" s="10"/>
      <c r="C1164" s="10"/>
      <c r="D1164" s="18">
        <v>1147</v>
      </c>
      <c r="E1164" s="21">
        <f t="shared" si="73"/>
        <v>14288792373</v>
      </c>
      <c r="F1164" s="21">
        <f t="shared" si="70"/>
        <v>7358728072096</v>
      </c>
      <c r="G1164" s="21">
        <f t="shared" si="71"/>
        <v>5744061344</v>
      </c>
      <c r="H1164" s="22">
        <f t="shared" si="72"/>
        <v>0.16717418748885393</v>
      </c>
      <c r="I1164" s="10"/>
    </row>
    <row r="1165" spans="2:9" x14ac:dyDescent="0.25">
      <c r="B1165" s="10"/>
      <c r="C1165" s="10"/>
      <c r="D1165" s="18">
        <v>1148</v>
      </c>
      <c r="E1165" s="21">
        <f t="shared" si="73"/>
        <v>5744061344</v>
      </c>
      <c r="F1165" s="21">
        <f t="shared" si="70"/>
        <v>2958191592161</v>
      </c>
      <c r="G1165" s="21">
        <f t="shared" si="71"/>
        <v>3254092513</v>
      </c>
      <c r="H1165" s="22">
        <f t="shared" si="72"/>
        <v>9.4706556788878515E-2</v>
      </c>
      <c r="I1165" s="10"/>
    </row>
    <row r="1166" spans="2:9" x14ac:dyDescent="0.25">
      <c r="B1166" s="10"/>
      <c r="C1166" s="10"/>
      <c r="D1166" s="18">
        <v>1149</v>
      </c>
      <c r="E1166" s="21">
        <f t="shared" si="73"/>
        <v>3254092513</v>
      </c>
      <c r="F1166" s="21">
        <f t="shared" si="70"/>
        <v>1675857644196</v>
      </c>
      <c r="G1166" s="21">
        <f t="shared" si="71"/>
        <v>26590202532</v>
      </c>
      <c r="H1166" s="22">
        <f t="shared" si="72"/>
        <v>0.77387674630153924</v>
      </c>
      <c r="I1166" s="10"/>
    </row>
    <row r="1167" spans="2:9" x14ac:dyDescent="0.25">
      <c r="B1167" s="10"/>
      <c r="C1167" s="10"/>
      <c r="D1167" s="18">
        <v>1150</v>
      </c>
      <c r="E1167" s="21">
        <f t="shared" si="73"/>
        <v>26590202532</v>
      </c>
      <c r="F1167" s="21">
        <f t="shared" si="70"/>
        <v>13693954303981</v>
      </c>
      <c r="G1167" s="21">
        <f t="shared" si="71"/>
        <v>18778433517</v>
      </c>
      <c r="H1167" s="22">
        <f t="shared" si="72"/>
        <v>0.5465243453218136</v>
      </c>
      <c r="I1167" s="10"/>
    </row>
    <row r="1168" spans="2:9" x14ac:dyDescent="0.25">
      <c r="B1168" s="10"/>
      <c r="C1168" s="10"/>
      <c r="D1168" s="18">
        <v>1151</v>
      </c>
      <c r="E1168" s="21">
        <f t="shared" si="73"/>
        <v>18778433517</v>
      </c>
      <c r="F1168" s="21">
        <f t="shared" si="70"/>
        <v>9670893261256</v>
      </c>
      <c r="G1168" s="21">
        <f t="shared" si="71"/>
        <v>15806779848</v>
      </c>
      <c r="H1168" s="22">
        <f t="shared" si="72"/>
        <v>0.46003784076310694</v>
      </c>
      <c r="I1168" s="10"/>
    </row>
    <row r="1169" spans="2:9" x14ac:dyDescent="0.25">
      <c r="B1169" s="10"/>
      <c r="C1169" s="10"/>
      <c r="D1169" s="18">
        <v>1152</v>
      </c>
      <c r="E1169" s="21">
        <f t="shared" si="73"/>
        <v>15806779848</v>
      </c>
      <c r="F1169" s="21">
        <f t="shared" si="70"/>
        <v>8140491621721</v>
      </c>
      <c r="G1169" s="21">
        <f t="shared" si="71"/>
        <v>31593366873</v>
      </c>
      <c r="H1169" s="22">
        <f t="shared" si="72"/>
        <v>0.91948799302917905</v>
      </c>
      <c r="I1169" s="10"/>
    </row>
    <row r="1170" spans="2:9" x14ac:dyDescent="0.25">
      <c r="B1170" s="10"/>
      <c r="C1170" s="10"/>
      <c r="D1170" s="18">
        <v>1153</v>
      </c>
      <c r="E1170" s="21">
        <f t="shared" si="73"/>
        <v>31593366873</v>
      </c>
      <c r="F1170" s="21">
        <f t="shared" si="70"/>
        <v>16270583939596</v>
      </c>
      <c r="G1170" s="21">
        <f t="shared" si="71"/>
        <v>18427691532</v>
      </c>
      <c r="H1170" s="22">
        <f t="shared" si="72"/>
        <v>0.53631641005631536</v>
      </c>
      <c r="I1170" s="10"/>
    </row>
    <row r="1171" spans="2:9" x14ac:dyDescent="0.25">
      <c r="B1171" s="10"/>
      <c r="C1171" s="10"/>
      <c r="D1171" s="18">
        <v>1154</v>
      </c>
      <c r="E1171" s="21">
        <f t="shared" si="73"/>
        <v>18427691532</v>
      </c>
      <c r="F1171" s="21">
        <f t="shared" ref="F1171:F1217" si="74">E$7 * E1171 + H$7</f>
        <v>9490261138981</v>
      </c>
      <c r="G1171" s="21">
        <f t="shared" ref="G1171:G1217" si="75">MOD(F1171,F$7)</f>
        <v>6973349413</v>
      </c>
      <c r="H1171" s="22">
        <f t="shared" ref="H1171:H1217" si="76">G1171/F$7</f>
        <v>0.20295117903151549</v>
      </c>
      <c r="I1171" s="10"/>
    </row>
    <row r="1172" spans="2:9" x14ac:dyDescent="0.25">
      <c r="B1172" s="10"/>
      <c r="C1172" s="10"/>
      <c r="D1172" s="18">
        <v>1155</v>
      </c>
      <c r="E1172" s="21">
        <f t="shared" si="73"/>
        <v>6973349413</v>
      </c>
      <c r="F1172" s="21">
        <f t="shared" si="74"/>
        <v>3591274947696</v>
      </c>
      <c r="G1172" s="21">
        <f t="shared" si="75"/>
        <v>17862157424</v>
      </c>
      <c r="H1172" s="22">
        <f t="shared" si="76"/>
        <v>0.51985720125958323</v>
      </c>
      <c r="I1172" s="10"/>
    </row>
    <row r="1173" spans="2:9" x14ac:dyDescent="0.25">
      <c r="B1173" s="10"/>
      <c r="C1173" s="10"/>
      <c r="D1173" s="18">
        <v>1156</v>
      </c>
      <c r="E1173" s="21">
        <f t="shared" si="73"/>
        <v>17862157424</v>
      </c>
      <c r="F1173" s="21">
        <f t="shared" si="74"/>
        <v>9199011073361</v>
      </c>
      <c r="G1173" s="21">
        <f t="shared" si="75"/>
        <v>24960929105</v>
      </c>
      <c r="H1173" s="22">
        <f t="shared" si="76"/>
        <v>0.72645864871446975</v>
      </c>
      <c r="I1173" s="10"/>
    </row>
    <row r="1174" spans="2:9" x14ac:dyDescent="0.25">
      <c r="B1174" s="10"/>
      <c r="C1174" s="10"/>
      <c r="D1174" s="18">
        <v>1157</v>
      </c>
      <c r="E1174" s="21">
        <f t="shared" si="73"/>
        <v>24960929105</v>
      </c>
      <c r="F1174" s="21">
        <f t="shared" si="74"/>
        <v>12854878489076</v>
      </c>
      <c r="G1174" s="21">
        <f t="shared" si="75"/>
        <v>4336339444</v>
      </c>
      <c r="H1174" s="22">
        <f t="shared" si="76"/>
        <v>0.12620408798102289</v>
      </c>
      <c r="I1174" s="10"/>
    </row>
    <row r="1175" spans="2:9" x14ac:dyDescent="0.25">
      <c r="B1175" s="10"/>
      <c r="C1175" s="10"/>
      <c r="D1175" s="18">
        <v>1158</v>
      </c>
      <c r="E1175" s="21">
        <f t="shared" si="73"/>
        <v>4336339444</v>
      </c>
      <c r="F1175" s="21">
        <f t="shared" si="74"/>
        <v>2233214813661</v>
      </c>
      <c r="G1175" s="21">
        <f t="shared" si="75"/>
        <v>34191558109</v>
      </c>
      <c r="H1175" s="22">
        <f t="shared" si="76"/>
        <v>0.99510531025589444</v>
      </c>
      <c r="I1175" s="10"/>
    </row>
    <row r="1176" spans="2:9" x14ac:dyDescent="0.25">
      <c r="B1176" s="10"/>
      <c r="C1176" s="10"/>
      <c r="D1176" s="18">
        <v>1159</v>
      </c>
      <c r="E1176" s="21">
        <f t="shared" si="73"/>
        <v>34191558109</v>
      </c>
      <c r="F1176" s="21">
        <f t="shared" si="74"/>
        <v>17608652426136</v>
      </c>
      <c r="G1176" s="21">
        <f t="shared" si="75"/>
        <v>16466381720</v>
      </c>
      <c r="H1176" s="22">
        <f t="shared" si="76"/>
        <v>0.47923478181473911</v>
      </c>
      <c r="I1176" s="10"/>
    </row>
    <row r="1177" spans="2:9" x14ac:dyDescent="0.25">
      <c r="B1177" s="10"/>
      <c r="C1177" s="10"/>
      <c r="D1177" s="18">
        <v>1160</v>
      </c>
      <c r="E1177" s="21">
        <f t="shared" si="73"/>
        <v>16466381720</v>
      </c>
      <c r="F1177" s="21">
        <f t="shared" si="74"/>
        <v>8480186585801</v>
      </c>
      <c r="G1177" s="21">
        <f t="shared" si="75"/>
        <v>27690947273</v>
      </c>
      <c r="H1177" s="22">
        <f t="shared" si="76"/>
        <v>0.80591263461974449</v>
      </c>
      <c r="I1177" s="10"/>
    </row>
    <row r="1178" spans="2:9" x14ac:dyDescent="0.25">
      <c r="B1178" s="10"/>
      <c r="C1178" s="10"/>
      <c r="D1178" s="18">
        <v>1161</v>
      </c>
      <c r="E1178" s="21">
        <f t="shared" si="73"/>
        <v>27690947273</v>
      </c>
      <c r="F1178" s="21">
        <f t="shared" si="74"/>
        <v>14260837845596</v>
      </c>
      <c r="G1178" s="21">
        <f t="shared" si="75"/>
        <v>1546422876</v>
      </c>
      <c r="H1178" s="22">
        <f t="shared" si="76"/>
        <v>4.5006829197518528E-2</v>
      </c>
      <c r="I1178" s="10"/>
    </row>
    <row r="1179" spans="2:9" x14ac:dyDescent="0.25">
      <c r="B1179" s="10"/>
      <c r="C1179" s="10"/>
      <c r="D1179" s="18">
        <v>1162</v>
      </c>
      <c r="E1179" s="21">
        <f t="shared" si="73"/>
        <v>1546422876</v>
      </c>
      <c r="F1179" s="21">
        <f t="shared" si="74"/>
        <v>796407781141</v>
      </c>
      <c r="G1179" s="21">
        <f t="shared" si="75"/>
        <v>6133798677</v>
      </c>
      <c r="H1179" s="22">
        <f t="shared" si="76"/>
        <v>0.1785170367511455</v>
      </c>
      <c r="I1179" s="10"/>
    </row>
    <row r="1180" spans="2:9" x14ac:dyDescent="0.25">
      <c r="B1180" s="10"/>
      <c r="C1180" s="10"/>
      <c r="D1180" s="18">
        <v>1163</v>
      </c>
      <c r="E1180" s="21">
        <f t="shared" si="73"/>
        <v>6133798677</v>
      </c>
      <c r="F1180" s="21">
        <f t="shared" si="74"/>
        <v>3158906318656</v>
      </c>
      <c r="G1180" s="21">
        <f t="shared" si="75"/>
        <v>32170127168</v>
      </c>
      <c r="H1180" s="22">
        <f t="shared" si="76"/>
        <v>0.93627392686903477</v>
      </c>
      <c r="I1180" s="10"/>
    </row>
    <row r="1181" spans="2:9" x14ac:dyDescent="0.25">
      <c r="B1181" s="10"/>
      <c r="C1181" s="10"/>
      <c r="D1181" s="18">
        <v>1164</v>
      </c>
      <c r="E1181" s="21">
        <f t="shared" si="73"/>
        <v>32170127168</v>
      </c>
      <c r="F1181" s="21">
        <f t="shared" si="74"/>
        <v>16567615491521</v>
      </c>
      <c r="G1181" s="21">
        <f t="shared" si="75"/>
        <v>6221598145</v>
      </c>
      <c r="H1181" s="22">
        <f t="shared" si="76"/>
        <v>0.18107233758200891</v>
      </c>
      <c r="I1181" s="10"/>
    </row>
    <row r="1182" spans="2:9" x14ac:dyDescent="0.25">
      <c r="B1182" s="10"/>
      <c r="C1182" s="10"/>
      <c r="D1182" s="18">
        <v>1165</v>
      </c>
      <c r="E1182" s="21">
        <f t="shared" si="73"/>
        <v>6221598145</v>
      </c>
      <c r="F1182" s="21">
        <f t="shared" si="74"/>
        <v>3204123044676</v>
      </c>
      <c r="G1182" s="21">
        <f t="shared" si="75"/>
        <v>8667376452</v>
      </c>
      <c r="H1182" s="22">
        <f t="shared" si="76"/>
        <v>0.25225385476369411</v>
      </c>
      <c r="I1182" s="10"/>
    </row>
    <row r="1183" spans="2:9" x14ac:dyDescent="0.25">
      <c r="B1183" s="10"/>
      <c r="C1183" s="10"/>
      <c r="D1183" s="18">
        <v>1166</v>
      </c>
      <c r="E1183" s="21">
        <f t="shared" si="73"/>
        <v>8667376452</v>
      </c>
      <c r="F1183" s="21">
        <f t="shared" si="74"/>
        <v>4463698872781</v>
      </c>
      <c r="G1183" s="21">
        <f t="shared" si="75"/>
        <v>31292623309</v>
      </c>
      <c r="H1183" s="22">
        <f t="shared" si="76"/>
        <v>0.91073520333156921</v>
      </c>
      <c r="I1183" s="10"/>
    </row>
    <row r="1184" spans="2:9" x14ac:dyDescent="0.25">
      <c r="B1184" s="10"/>
      <c r="C1184" s="10"/>
      <c r="D1184" s="18">
        <v>1167</v>
      </c>
      <c r="E1184" s="21">
        <f t="shared" si="73"/>
        <v>31292623309</v>
      </c>
      <c r="F1184" s="21">
        <f t="shared" si="74"/>
        <v>16115701004136</v>
      </c>
      <c r="G1184" s="21">
        <f t="shared" si="75"/>
        <v>983709544</v>
      </c>
      <c r="H1184" s="22">
        <f t="shared" si="76"/>
        <v>2.8629715787246823E-2</v>
      </c>
      <c r="I1184" s="10"/>
    </row>
    <row r="1185" spans="2:9" x14ac:dyDescent="0.25">
      <c r="B1185" s="10"/>
      <c r="C1185" s="10"/>
      <c r="D1185" s="18">
        <v>1168</v>
      </c>
      <c r="E1185" s="21">
        <f t="shared" si="73"/>
        <v>983709544</v>
      </c>
      <c r="F1185" s="21">
        <f t="shared" si="74"/>
        <v>506610415161</v>
      </c>
      <c r="G1185" s="21">
        <f t="shared" si="75"/>
        <v>25574078009</v>
      </c>
      <c r="H1185" s="22">
        <f t="shared" si="76"/>
        <v>0.74430363046121784</v>
      </c>
      <c r="I1185" s="10"/>
    </row>
    <row r="1186" spans="2:9" x14ac:dyDescent="0.25">
      <c r="B1186" s="10"/>
      <c r="C1186" s="10"/>
      <c r="D1186" s="18">
        <v>1169</v>
      </c>
      <c r="E1186" s="21">
        <f t="shared" si="73"/>
        <v>25574078009</v>
      </c>
      <c r="F1186" s="21">
        <f t="shared" si="74"/>
        <v>13170650174636</v>
      </c>
      <c r="G1186" s="21">
        <f t="shared" si="75"/>
        <v>10870379692</v>
      </c>
      <c r="H1186" s="22">
        <f t="shared" si="76"/>
        <v>0.31636968755628914</v>
      </c>
      <c r="I1186" s="10"/>
    </row>
    <row r="1187" spans="2:9" x14ac:dyDescent="0.25">
      <c r="B1187" s="10"/>
      <c r="C1187" s="10"/>
      <c r="D1187" s="18">
        <v>1170</v>
      </c>
      <c r="E1187" s="21">
        <f t="shared" si="73"/>
        <v>10870379692</v>
      </c>
      <c r="F1187" s="21">
        <f t="shared" si="74"/>
        <v>5598245541381</v>
      </c>
      <c r="G1187" s="21">
        <f t="shared" si="75"/>
        <v>31967925765</v>
      </c>
      <c r="H1187" s="22">
        <f t="shared" si="76"/>
        <v>0.93038909151800908</v>
      </c>
      <c r="I1187" s="10"/>
    </row>
    <row r="1188" spans="2:9" x14ac:dyDescent="0.25">
      <c r="B1188" s="10"/>
      <c r="C1188" s="10"/>
      <c r="D1188" s="18">
        <v>1171</v>
      </c>
      <c r="E1188" s="21">
        <f t="shared" si="73"/>
        <v>31967925765</v>
      </c>
      <c r="F1188" s="21">
        <f t="shared" si="74"/>
        <v>16463481768976</v>
      </c>
      <c r="G1188" s="21">
        <f t="shared" si="75"/>
        <v>5167090704</v>
      </c>
      <c r="H1188" s="22">
        <f t="shared" si="76"/>
        <v>0.15038213180378079</v>
      </c>
      <c r="I1188" s="10"/>
    </row>
    <row r="1189" spans="2:9" x14ac:dyDescent="0.25">
      <c r="B1189" s="10"/>
      <c r="C1189" s="10"/>
      <c r="D1189" s="18">
        <v>1172</v>
      </c>
      <c r="E1189" s="21">
        <f t="shared" si="73"/>
        <v>5167090704</v>
      </c>
      <c r="F1189" s="21">
        <f t="shared" si="74"/>
        <v>2661051712561</v>
      </c>
      <c r="G1189" s="21">
        <f t="shared" si="75"/>
        <v>15351858225</v>
      </c>
      <c r="H1189" s="22">
        <f t="shared" si="76"/>
        <v>0.44679787897621281</v>
      </c>
      <c r="I1189" s="10"/>
    </row>
    <row r="1190" spans="2:9" x14ac:dyDescent="0.25">
      <c r="B1190" s="10"/>
      <c r="C1190" s="10"/>
      <c r="D1190" s="18">
        <v>1173</v>
      </c>
      <c r="E1190" s="21">
        <f t="shared" si="73"/>
        <v>15351858225</v>
      </c>
      <c r="F1190" s="21">
        <f t="shared" si="74"/>
        <v>7906206985876</v>
      </c>
      <c r="G1190" s="21">
        <f t="shared" si="75"/>
        <v>3467161236</v>
      </c>
      <c r="H1190" s="22">
        <f t="shared" si="76"/>
        <v>0.10090767277870327</v>
      </c>
      <c r="I1190" s="10"/>
    </row>
    <row r="1191" spans="2:9" x14ac:dyDescent="0.25">
      <c r="B1191" s="10"/>
      <c r="C1191" s="10"/>
      <c r="D1191" s="18">
        <v>1174</v>
      </c>
      <c r="E1191" s="21">
        <f t="shared" si="73"/>
        <v>3467161236</v>
      </c>
      <c r="F1191" s="21">
        <f t="shared" si="74"/>
        <v>1785588036541</v>
      </c>
      <c r="G1191" s="21">
        <f t="shared" si="75"/>
        <v>33241379773</v>
      </c>
      <c r="H1191" s="22">
        <f t="shared" si="76"/>
        <v>0.96745148106128909</v>
      </c>
      <c r="I1191" s="10"/>
    </row>
    <row r="1192" spans="2:9" x14ac:dyDescent="0.25">
      <c r="B1192" s="10"/>
      <c r="C1192" s="10"/>
      <c r="D1192" s="18">
        <v>1175</v>
      </c>
      <c r="E1192" s="21">
        <f t="shared" si="73"/>
        <v>33241379773</v>
      </c>
      <c r="F1192" s="21">
        <f t="shared" si="74"/>
        <v>17119310583096</v>
      </c>
      <c r="G1192" s="21">
        <f t="shared" si="75"/>
        <v>8160875832</v>
      </c>
      <c r="H1192" s="22">
        <f t="shared" si="76"/>
        <v>0.2375127465929836</v>
      </c>
      <c r="I1192" s="10"/>
    </row>
    <row r="1193" spans="2:9" x14ac:dyDescent="0.25">
      <c r="B1193" s="10"/>
      <c r="C1193" s="10"/>
      <c r="D1193" s="18">
        <v>1176</v>
      </c>
      <c r="E1193" s="21">
        <f t="shared" si="73"/>
        <v>8160875832</v>
      </c>
      <c r="F1193" s="21">
        <f t="shared" si="74"/>
        <v>4202851053481</v>
      </c>
      <c r="G1193" s="21">
        <f t="shared" si="75"/>
        <v>10962972585</v>
      </c>
      <c r="H1193" s="22">
        <f t="shared" si="76"/>
        <v>0.31906449541565962</v>
      </c>
      <c r="I1193" s="10"/>
    </row>
    <row r="1194" spans="2:9" x14ac:dyDescent="0.25">
      <c r="B1194" s="10"/>
      <c r="C1194" s="10"/>
      <c r="D1194" s="18">
        <v>1177</v>
      </c>
      <c r="E1194" s="21">
        <f t="shared" si="73"/>
        <v>10962972585</v>
      </c>
      <c r="F1194" s="21">
        <f t="shared" si="74"/>
        <v>5645930881276</v>
      </c>
      <c r="G1194" s="21">
        <f t="shared" si="75"/>
        <v>10933788924</v>
      </c>
      <c r="H1194" s="22">
        <f t="shared" si="76"/>
        <v>0.31821513909380883</v>
      </c>
      <c r="I1194" s="10"/>
    </row>
    <row r="1195" spans="2:9" x14ac:dyDescent="0.25">
      <c r="B1195" s="10"/>
      <c r="C1195" s="10"/>
      <c r="D1195" s="18">
        <v>1178</v>
      </c>
      <c r="E1195" s="21">
        <f t="shared" si="73"/>
        <v>10933788924</v>
      </c>
      <c r="F1195" s="21">
        <f t="shared" si="74"/>
        <v>5630901295861</v>
      </c>
      <c r="G1195" s="21">
        <f t="shared" si="75"/>
        <v>30263941877</v>
      </c>
      <c r="H1195" s="22">
        <f t="shared" si="76"/>
        <v>0.88079663334065117</v>
      </c>
      <c r="I1195" s="10"/>
    </row>
    <row r="1196" spans="2:9" x14ac:dyDescent="0.25">
      <c r="B1196" s="10"/>
      <c r="C1196" s="10"/>
      <c r="D1196" s="18">
        <v>1179</v>
      </c>
      <c r="E1196" s="21">
        <f t="shared" si="73"/>
        <v>30263941877</v>
      </c>
      <c r="F1196" s="21">
        <f t="shared" si="74"/>
        <v>15585930066656</v>
      </c>
      <c r="G1196" s="21">
        <f t="shared" si="75"/>
        <v>20968585952</v>
      </c>
      <c r="H1196" s="22">
        <f t="shared" si="76"/>
        <v>0.61026617046445608</v>
      </c>
      <c r="I1196" s="10"/>
    </row>
    <row r="1197" spans="2:9" x14ac:dyDescent="0.25">
      <c r="B1197" s="10"/>
      <c r="C1197" s="10"/>
      <c r="D1197" s="18">
        <v>1180</v>
      </c>
      <c r="E1197" s="21">
        <f t="shared" si="73"/>
        <v>20968585952</v>
      </c>
      <c r="F1197" s="21">
        <f t="shared" si="74"/>
        <v>10798821765281</v>
      </c>
      <c r="G1197" s="21">
        <f t="shared" si="75"/>
        <v>9863917729</v>
      </c>
      <c r="H1197" s="22">
        <f t="shared" si="76"/>
        <v>0.28707778922398575</v>
      </c>
      <c r="I1197" s="10"/>
    </row>
    <row r="1198" spans="2:9" x14ac:dyDescent="0.25">
      <c r="B1198" s="10"/>
      <c r="C1198" s="10"/>
      <c r="D1198" s="18">
        <v>1181</v>
      </c>
      <c r="E1198" s="21">
        <f t="shared" si="73"/>
        <v>9863917729</v>
      </c>
      <c r="F1198" s="21">
        <f t="shared" si="74"/>
        <v>5079917630436</v>
      </c>
      <c r="G1198" s="21">
        <f t="shared" si="75"/>
        <v>29036090340</v>
      </c>
      <c r="H1198" s="22">
        <f t="shared" si="76"/>
        <v>0.84506145038176328</v>
      </c>
      <c r="I1198" s="10"/>
    </row>
    <row r="1199" spans="2:9" x14ac:dyDescent="0.25">
      <c r="B1199" s="10"/>
      <c r="C1199" s="10"/>
      <c r="D1199" s="18">
        <v>1182</v>
      </c>
      <c r="E1199" s="21">
        <f t="shared" si="73"/>
        <v>29036090340</v>
      </c>
      <c r="F1199" s="21">
        <f t="shared" si="74"/>
        <v>14953586525101</v>
      </c>
      <c r="G1199" s="21">
        <f t="shared" si="75"/>
        <v>7100335021</v>
      </c>
      <c r="H1199" s="22">
        <f t="shared" si="76"/>
        <v>0.20664694663719274</v>
      </c>
      <c r="I1199" s="10"/>
    </row>
    <row r="1200" spans="2:9" x14ac:dyDescent="0.25">
      <c r="B1200" s="10"/>
      <c r="C1200" s="10"/>
      <c r="D1200" s="18">
        <v>1183</v>
      </c>
      <c r="E1200" s="21">
        <f t="shared" si="73"/>
        <v>7100335021</v>
      </c>
      <c r="F1200" s="21">
        <f t="shared" si="74"/>
        <v>3656672535816</v>
      </c>
      <c r="G1200" s="21">
        <f t="shared" si="75"/>
        <v>14540268808</v>
      </c>
      <c r="H1200" s="22">
        <f t="shared" si="76"/>
        <v>0.42317751818336546</v>
      </c>
      <c r="I1200" s="10"/>
    </row>
    <row r="1201" spans="2:9" x14ac:dyDescent="0.25">
      <c r="B1201" s="10"/>
      <c r="C1201" s="10"/>
      <c r="D1201" s="18">
        <v>1184</v>
      </c>
      <c r="E1201" s="21">
        <f t="shared" si="73"/>
        <v>14540268808</v>
      </c>
      <c r="F1201" s="21">
        <f t="shared" si="74"/>
        <v>7488238436121</v>
      </c>
      <c r="G1201" s="21">
        <f t="shared" si="75"/>
        <v>32175210265</v>
      </c>
      <c r="H1201" s="22">
        <f t="shared" si="76"/>
        <v>0.9364218644623179</v>
      </c>
      <c r="I1201" s="10"/>
    </row>
    <row r="1202" spans="2:9" x14ac:dyDescent="0.25">
      <c r="B1202" s="10"/>
      <c r="C1202" s="10"/>
      <c r="D1202" s="18">
        <v>1185</v>
      </c>
      <c r="E1202" s="21">
        <f t="shared" si="73"/>
        <v>32175210265</v>
      </c>
      <c r="F1202" s="21">
        <f t="shared" si="74"/>
        <v>16570233286476</v>
      </c>
      <c r="G1202" s="21">
        <f t="shared" si="75"/>
        <v>8839393100</v>
      </c>
      <c r="H1202" s="22">
        <f t="shared" si="76"/>
        <v>0.25726019812282175</v>
      </c>
      <c r="I1202" s="10"/>
    </row>
    <row r="1203" spans="2:9" x14ac:dyDescent="0.25">
      <c r="B1203" s="10"/>
      <c r="C1203" s="10"/>
      <c r="D1203" s="18">
        <v>1186</v>
      </c>
      <c r="E1203" s="21">
        <f t="shared" si="73"/>
        <v>8839393100</v>
      </c>
      <c r="F1203" s="21">
        <f t="shared" si="74"/>
        <v>4552287446501</v>
      </c>
      <c r="G1203" s="21">
        <f t="shared" si="75"/>
        <v>16801981925</v>
      </c>
      <c r="H1203" s="22">
        <f t="shared" si="76"/>
        <v>0.48900203328230418</v>
      </c>
      <c r="I1203" s="10"/>
    </row>
    <row r="1204" spans="2:9" x14ac:dyDescent="0.25">
      <c r="B1204" s="10"/>
      <c r="C1204" s="10"/>
      <c r="D1204" s="18">
        <v>1187</v>
      </c>
      <c r="E1204" s="21">
        <f t="shared" si="73"/>
        <v>16801981925</v>
      </c>
      <c r="F1204" s="21">
        <f t="shared" si="74"/>
        <v>8653020691376</v>
      </c>
      <c r="G1204" s="21">
        <f t="shared" si="75"/>
        <v>28726361008</v>
      </c>
      <c r="H1204" s="22">
        <f t="shared" si="76"/>
        <v>0.83604714041575789</v>
      </c>
      <c r="I1204" s="10"/>
    </row>
    <row r="1205" spans="2:9" x14ac:dyDescent="0.25">
      <c r="B1205" s="10"/>
      <c r="C1205" s="10"/>
      <c r="D1205" s="18">
        <v>1188</v>
      </c>
      <c r="E1205" s="21">
        <f t="shared" si="73"/>
        <v>28726361008</v>
      </c>
      <c r="F1205" s="21">
        <f t="shared" si="74"/>
        <v>14794075919121</v>
      </c>
      <c r="G1205" s="21">
        <f t="shared" si="75"/>
        <v>19388420881</v>
      </c>
      <c r="H1205" s="22">
        <f t="shared" si="76"/>
        <v>0.56427731414441951</v>
      </c>
      <c r="I1205" s="10"/>
    </row>
    <row r="1206" spans="2:9" x14ac:dyDescent="0.25">
      <c r="B1206" s="10"/>
      <c r="C1206" s="10"/>
      <c r="D1206" s="18">
        <v>1189</v>
      </c>
      <c r="E1206" s="21">
        <f t="shared" ref="E1206:E1217" si="77">G1205</f>
        <v>19388420881</v>
      </c>
      <c r="F1206" s="21">
        <f t="shared" si="74"/>
        <v>9985036753716</v>
      </c>
      <c r="G1206" s="21">
        <f t="shared" si="75"/>
        <v>20712626996</v>
      </c>
      <c r="H1206" s="22">
        <f t="shared" si="76"/>
        <v>0.60281678440514952</v>
      </c>
      <c r="I1206" s="10"/>
    </row>
    <row r="1207" spans="2:9" x14ac:dyDescent="0.25">
      <c r="B1207" s="10"/>
      <c r="C1207" s="10"/>
      <c r="D1207" s="18">
        <v>1190</v>
      </c>
      <c r="E1207" s="21">
        <f t="shared" si="77"/>
        <v>20712626996</v>
      </c>
      <c r="F1207" s="21">
        <f t="shared" si="74"/>
        <v>10667002902941</v>
      </c>
      <c r="G1207" s="21">
        <f t="shared" si="75"/>
        <v>15484008861</v>
      </c>
      <c r="H1207" s="22">
        <f t="shared" si="76"/>
        <v>0.45064396868110634</v>
      </c>
      <c r="I1207" s="10"/>
    </row>
    <row r="1208" spans="2:9" x14ac:dyDescent="0.25">
      <c r="B1208" s="10"/>
      <c r="C1208" s="10"/>
      <c r="D1208" s="18">
        <v>1191</v>
      </c>
      <c r="E1208" s="21">
        <f t="shared" si="77"/>
        <v>15484008861</v>
      </c>
      <c r="F1208" s="21">
        <f t="shared" si="74"/>
        <v>7974264563416</v>
      </c>
      <c r="G1208" s="21">
        <f t="shared" si="75"/>
        <v>2805262040</v>
      </c>
      <c r="H1208" s="22">
        <f t="shared" si="76"/>
        <v>8.1643870798870921E-2</v>
      </c>
      <c r="I1208" s="10"/>
    </row>
    <row r="1209" spans="2:9" x14ac:dyDescent="0.25">
      <c r="B1209" s="10"/>
      <c r="C1209" s="10"/>
      <c r="D1209" s="18">
        <v>1192</v>
      </c>
      <c r="E1209" s="21">
        <f t="shared" si="77"/>
        <v>2805262040</v>
      </c>
      <c r="F1209" s="21">
        <f t="shared" si="74"/>
        <v>1444709950601</v>
      </c>
      <c r="G1209" s="21">
        <f t="shared" si="75"/>
        <v>1600939145</v>
      </c>
      <c r="H1209" s="22">
        <f t="shared" si="76"/>
        <v>4.6593461447628215E-2</v>
      </c>
      <c r="I1209" s="10"/>
    </row>
    <row r="1210" spans="2:9" x14ac:dyDescent="0.25">
      <c r="B1210" s="10"/>
      <c r="C1210" s="10"/>
      <c r="D1210" s="18">
        <v>1193</v>
      </c>
      <c r="E1210" s="21">
        <f t="shared" si="77"/>
        <v>1600939145</v>
      </c>
      <c r="F1210" s="21">
        <f t="shared" si="74"/>
        <v>824483659676</v>
      </c>
      <c r="G1210" s="21">
        <f t="shared" si="75"/>
        <v>34209677212</v>
      </c>
      <c r="H1210" s="22">
        <f t="shared" si="76"/>
        <v>0.99563264555763453</v>
      </c>
      <c r="I1210" s="10"/>
    </row>
    <row r="1211" spans="2:9" x14ac:dyDescent="0.25">
      <c r="B1211" s="10"/>
      <c r="C1211" s="10"/>
      <c r="D1211" s="18">
        <v>1194</v>
      </c>
      <c r="E1211" s="21">
        <f t="shared" si="77"/>
        <v>34209677212</v>
      </c>
      <c r="F1211" s="21">
        <f t="shared" si="74"/>
        <v>17617983764181</v>
      </c>
      <c r="G1211" s="21">
        <f t="shared" si="75"/>
        <v>25797719765</v>
      </c>
      <c r="H1211" s="22">
        <f t="shared" si="76"/>
        <v>0.75081246221088804</v>
      </c>
      <c r="I1211" s="10"/>
    </row>
    <row r="1212" spans="2:9" x14ac:dyDescent="0.25">
      <c r="B1212" s="10"/>
      <c r="C1212" s="10"/>
      <c r="D1212" s="18">
        <v>1195</v>
      </c>
      <c r="E1212" s="21">
        <f t="shared" si="77"/>
        <v>25797719765</v>
      </c>
      <c r="F1212" s="21">
        <f t="shared" si="74"/>
        <v>13285825678976</v>
      </c>
      <c r="G1212" s="21">
        <f t="shared" si="75"/>
        <v>22966668928</v>
      </c>
      <c r="H1212" s="22">
        <f t="shared" si="76"/>
        <v>0.668418038636446</v>
      </c>
      <c r="I1212" s="10"/>
    </row>
    <row r="1213" spans="2:9" x14ac:dyDescent="0.25">
      <c r="B1213" s="10"/>
      <c r="C1213" s="10"/>
      <c r="D1213" s="18">
        <v>1196</v>
      </c>
      <c r="E1213" s="21">
        <f t="shared" si="77"/>
        <v>22966668928</v>
      </c>
      <c r="F1213" s="21">
        <f t="shared" si="74"/>
        <v>11827834497921</v>
      </c>
      <c r="G1213" s="21">
        <f t="shared" si="75"/>
        <v>8084499329</v>
      </c>
      <c r="H1213" s="22">
        <f t="shared" si="76"/>
        <v>0.23528989779879339</v>
      </c>
      <c r="I1213" s="10"/>
    </row>
    <row r="1214" spans="2:9" x14ac:dyDescent="0.25">
      <c r="B1214" s="10"/>
      <c r="C1214" s="10"/>
      <c r="D1214" s="18">
        <v>1197</v>
      </c>
      <c r="E1214" s="21">
        <f t="shared" si="77"/>
        <v>8084499329</v>
      </c>
      <c r="F1214" s="21">
        <f t="shared" si="74"/>
        <v>4163517154436</v>
      </c>
      <c r="G1214" s="21">
        <f t="shared" si="75"/>
        <v>5988811908</v>
      </c>
      <c r="H1214" s="22">
        <f t="shared" si="76"/>
        <v>0.17429736640769988</v>
      </c>
      <c r="I1214" s="10"/>
    </row>
    <row r="1215" spans="2:9" x14ac:dyDescent="0.25">
      <c r="B1215" s="10"/>
      <c r="C1215" s="10"/>
      <c r="D1215" s="18">
        <v>1198</v>
      </c>
      <c r="E1215" s="21">
        <f t="shared" si="77"/>
        <v>5988811908</v>
      </c>
      <c r="F1215" s="21">
        <f t="shared" si="74"/>
        <v>3084238132621</v>
      </c>
      <c r="G1215" s="21">
        <f t="shared" si="75"/>
        <v>26221417869</v>
      </c>
      <c r="H1215" s="22">
        <f t="shared" si="76"/>
        <v>0.76314369999454357</v>
      </c>
      <c r="I1215" s="10"/>
    </row>
    <row r="1216" spans="2:9" x14ac:dyDescent="0.25">
      <c r="B1216" s="10"/>
      <c r="C1216" s="10"/>
      <c r="D1216" s="18">
        <v>1199</v>
      </c>
      <c r="E1216" s="21">
        <f t="shared" si="77"/>
        <v>26221417869</v>
      </c>
      <c r="F1216" s="21">
        <f t="shared" si="74"/>
        <v>13504030202536</v>
      </c>
      <c r="G1216" s="21">
        <f t="shared" si="75"/>
        <v>653023912</v>
      </c>
      <c r="H1216" s="22">
        <f t="shared" si="76"/>
        <v>1.900549721904099E-2</v>
      </c>
      <c r="I1216" s="10"/>
    </row>
    <row r="1217" spans="2:9" x14ac:dyDescent="0.25">
      <c r="B1217" s="10"/>
      <c r="C1217" s="10"/>
      <c r="D1217" s="18">
        <v>1200</v>
      </c>
      <c r="E1217" s="21">
        <f t="shared" si="77"/>
        <v>653023912</v>
      </c>
      <c r="F1217" s="21">
        <f t="shared" si="74"/>
        <v>336307314681</v>
      </c>
      <c r="G1217" s="21">
        <f t="shared" si="75"/>
        <v>27069669369</v>
      </c>
      <c r="H1217" s="22">
        <f t="shared" si="76"/>
        <v>0.78783106783521362</v>
      </c>
      <c r="I1217" s="10"/>
    </row>
  </sheetData>
  <mergeCells count="5">
    <mergeCell ref="C3:I4"/>
    <mergeCell ref="H9:I9"/>
    <mergeCell ref="F10:F13"/>
    <mergeCell ref="H10:I13"/>
    <mergeCell ref="E15:G15"/>
  </mergeCells>
  <conditionalFormatting sqref="H18:H121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2779-1A35-49A4-A4B6-C8440B6BD796}">
  <dimension ref="D10:ET162"/>
  <sheetViews>
    <sheetView tabSelected="1" topLeftCell="M133" zoomScale="90" zoomScaleNormal="90" workbookViewId="0">
      <selection activeCell="U158" sqref="U158"/>
    </sheetView>
  </sheetViews>
  <sheetFormatPr baseColWidth="10" defaultRowHeight="15" x14ac:dyDescent="0.25"/>
  <cols>
    <col min="12" max="12" width="16.28515625" customWidth="1"/>
    <col min="13" max="13" width="18.42578125" customWidth="1"/>
    <col min="15" max="15" width="18" customWidth="1"/>
    <col min="16" max="16" width="25.28515625" customWidth="1"/>
    <col min="17" max="17" width="17.42578125" customWidth="1"/>
    <col min="19" max="19" width="15.42578125" customWidth="1"/>
    <col min="20" max="20" width="15" customWidth="1"/>
    <col min="21" max="21" width="20.42578125" customWidth="1"/>
    <col min="22" max="22" width="17.140625" customWidth="1"/>
    <col min="23" max="23" width="25" customWidth="1"/>
    <col min="24" max="24" width="17.42578125" customWidth="1"/>
    <col min="26" max="26" width="13.140625" customWidth="1"/>
    <col min="27" max="27" width="17.28515625" customWidth="1"/>
    <col min="28" max="28" width="18" customWidth="1"/>
    <col min="29" max="29" width="17" customWidth="1"/>
    <col min="30" max="30" width="20.140625" customWidth="1"/>
    <col min="34" max="34" width="18.28515625" customWidth="1"/>
    <col min="35" max="35" width="13.7109375" customWidth="1"/>
    <col min="36" max="36" width="14.140625" customWidth="1"/>
    <col min="37" max="37" width="23.7109375" customWidth="1"/>
    <col min="38" max="38" width="14" customWidth="1"/>
    <col min="41" max="41" width="16.28515625" customWidth="1"/>
    <col min="43" max="43" width="13.42578125" customWidth="1"/>
    <col min="44" max="44" width="25.85546875" customWidth="1"/>
    <col min="45" max="45" width="14.42578125" customWidth="1"/>
    <col min="142" max="142" width="26.28515625" customWidth="1"/>
    <col min="148" max="148" width="15.85546875" customWidth="1"/>
    <col min="149" max="149" width="23.28515625" customWidth="1"/>
  </cols>
  <sheetData>
    <row r="10" spans="4:150" x14ac:dyDescent="0.25"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Y10" s="8"/>
      <c r="Z10" s="8"/>
      <c r="AA10" s="8"/>
      <c r="AB10" s="8"/>
      <c r="AC10" s="8"/>
      <c r="AD10" s="8"/>
      <c r="AE10" s="8"/>
      <c r="AF10" s="8"/>
    </row>
    <row r="11" spans="4:150" x14ac:dyDescent="0.25">
      <c r="D11" s="24"/>
      <c r="E11" s="24"/>
      <c r="F11" s="24"/>
      <c r="G11" s="24"/>
      <c r="H11" s="24"/>
      <c r="I11" s="24"/>
      <c r="J11" s="24"/>
      <c r="K11" s="24"/>
      <c r="L11" s="33" t="s">
        <v>32</v>
      </c>
      <c r="M11" s="33"/>
      <c r="N11" s="33"/>
      <c r="O11" s="33"/>
      <c r="P11" s="33"/>
      <c r="Q11" s="33"/>
      <c r="S11" s="33" t="s">
        <v>33</v>
      </c>
      <c r="T11" s="33"/>
      <c r="U11" s="33"/>
      <c r="V11" s="33"/>
      <c r="W11" s="33"/>
      <c r="X11" s="33"/>
      <c r="Y11" s="8"/>
      <c r="Z11" s="35" t="s">
        <v>36</v>
      </c>
      <c r="AA11" s="35"/>
      <c r="AB11" s="35"/>
      <c r="AC11" s="35"/>
      <c r="AD11" s="35"/>
      <c r="AE11" s="35"/>
      <c r="AF11" s="8"/>
      <c r="AG11" s="34" t="s">
        <v>37</v>
      </c>
      <c r="AH11" s="34"/>
      <c r="AI11" s="34"/>
      <c r="AJ11" s="34"/>
      <c r="AK11" s="34"/>
      <c r="AL11" s="34"/>
      <c r="AN11" s="33" t="s">
        <v>38</v>
      </c>
      <c r="AO11" s="33"/>
      <c r="AP11" s="33"/>
      <c r="AQ11" s="33"/>
      <c r="AR11" s="33"/>
      <c r="AS11" s="33"/>
      <c r="AU11" s="33" t="s">
        <v>39</v>
      </c>
      <c r="AV11" s="33"/>
      <c r="AW11" s="33"/>
      <c r="AX11" s="33"/>
      <c r="AY11" s="33"/>
      <c r="AZ11" s="33"/>
      <c r="BB11" s="33" t="s">
        <v>40</v>
      </c>
      <c r="BC11" s="33"/>
      <c r="BD11" s="33"/>
      <c r="BE11" s="33"/>
      <c r="BF11" s="33"/>
      <c r="BG11" s="33"/>
      <c r="BI11" s="33" t="s">
        <v>41</v>
      </c>
      <c r="BJ11" s="33"/>
      <c r="BK11" s="33"/>
      <c r="BL11" s="33"/>
      <c r="BM11" s="33"/>
      <c r="BN11" s="33"/>
      <c r="BP11" s="33" t="s">
        <v>42</v>
      </c>
      <c r="BQ11" s="33"/>
      <c r="BR11" s="33"/>
      <c r="BS11" s="33"/>
      <c r="BT11" s="33"/>
      <c r="BU11" s="33"/>
      <c r="BW11" s="33" t="s">
        <v>43</v>
      </c>
      <c r="BX11" s="33"/>
      <c r="BY11" s="33"/>
      <c r="BZ11" s="33"/>
      <c r="CA11" s="33"/>
      <c r="CB11" s="33"/>
      <c r="CD11" s="33" t="s">
        <v>44</v>
      </c>
      <c r="CE11" s="33"/>
      <c r="CF11" s="33"/>
      <c r="CG11" s="33"/>
      <c r="CH11" s="33"/>
      <c r="CI11" s="33"/>
      <c r="CK11" s="33" t="s">
        <v>45</v>
      </c>
      <c r="CL11" s="33"/>
      <c r="CM11" s="33"/>
      <c r="CN11" s="33"/>
      <c r="CO11" s="33"/>
      <c r="CP11" s="33"/>
      <c r="CR11" s="33" t="s">
        <v>46</v>
      </c>
      <c r="CS11" s="33"/>
      <c r="CT11" s="33"/>
      <c r="CU11" s="33"/>
      <c r="CV11" s="33"/>
      <c r="CW11" s="33"/>
      <c r="CY11" s="33" t="s">
        <v>47</v>
      </c>
      <c r="CZ11" s="33"/>
      <c r="DA11" s="33"/>
      <c r="DB11" s="33"/>
      <c r="DC11" s="33"/>
      <c r="DD11" s="33"/>
      <c r="DF11" s="33" t="s">
        <v>48</v>
      </c>
      <c r="DG11" s="33"/>
      <c r="DH11" s="33"/>
      <c r="DI11" s="33"/>
      <c r="DJ11" s="33"/>
      <c r="DK11" s="33"/>
      <c r="DM11" s="33" t="s">
        <v>49</v>
      </c>
      <c r="DN11" s="33"/>
      <c r="DO11" s="33"/>
      <c r="DP11" s="33"/>
      <c r="DQ11" s="33"/>
      <c r="DR11" s="33"/>
      <c r="DT11" s="33" t="s">
        <v>50</v>
      </c>
      <c r="DU11" s="33"/>
      <c r="DV11" s="33"/>
      <c r="DW11" s="33"/>
      <c r="DX11" s="33"/>
      <c r="DY11" s="33"/>
      <c r="EA11" s="33" t="s">
        <v>51</v>
      </c>
      <c r="EB11" s="33"/>
      <c r="EC11" s="33"/>
      <c r="ED11" s="33"/>
      <c r="EE11" s="33"/>
      <c r="EF11" s="33"/>
      <c r="EH11" s="33" t="s">
        <v>52</v>
      </c>
      <c r="EI11" s="33"/>
      <c r="EJ11" s="33"/>
      <c r="EK11" s="33"/>
      <c r="EL11" s="33"/>
      <c r="EM11" s="33"/>
      <c r="EO11" s="33" t="s">
        <v>53</v>
      </c>
      <c r="EP11" s="33"/>
      <c r="EQ11" s="33"/>
      <c r="ER11" s="33"/>
      <c r="ES11" s="33"/>
      <c r="ET11" s="33"/>
    </row>
    <row r="12" spans="4:150" x14ac:dyDescent="0.25"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Y12" s="8"/>
      <c r="Z12" s="8"/>
      <c r="AA12" s="8"/>
      <c r="AB12" s="8"/>
      <c r="AC12" s="8"/>
      <c r="AD12" s="8"/>
      <c r="AE12" s="8"/>
      <c r="AF12" s="8"/>
    </row>
    <row r="13" spans="4:150" x14ac:dyDescent="0.25">
      <c r="L13" t="s">
        <v>23</v>
      </c>
      <c r="S13" t="s">
        <v>23</v>
      </c>
      <c r="Z13" t="s">
        <v>23</v>
      </c>
      <c r="AG13" t="s">
        <v>23</v>
      </c>
      <c r="AN13" t="s">
        <v>23</v>
      </c>
      <c r="AU13" t="s">
        <v>23</v>
      </c>
      <c r="BB13" t="s">
        <v>23</v>
      </c>
      <c r="BI13" t="s">
        <v>23</v>
      </c>
      <c r="BP13" t="s">
        <v>23</v>
      </c>
      <c r="BW13" t="s">
        <v>23</v>
      </c>
      <c r="CD13" t="s">
        <v>23</v>
      </c>
      <c r="CK13" t="s">
        <v>23</v>
      </c>
      <c r="CR13" t="s">
        <v>23</v>
      </c>
      <c r="CY13" t="s">
        <v>23</v>
      </c>
      <c r="DF13" t="s">
        <v>23</v>
      </c>
      <c r="DM13" t="s">
        <v>23</v>
      </c>
      <c r="DT13" t="s">
        <v>23</v>
      </c>
      <c r="EA13" t="s">
        <v>23</v>
      </c>
      <c r="EH13" t="s">
        <v>23</v>
      </c>
      <c r="EO13" t="s">
        <v>23</v>
      </c>
    </row>
    <row r="14" spans="4:150" x14ac:dyDescent="0.25">
      <c r="D14" s="1"/>
      <c r="E14" s="1"/>
      <c r="F14" s="1"/>
      <c r="G14" s="36" t="s">
        <v>0</v>
      </c>
      <c r="H14" s="37"/>
      <c r="L14" t="s">
        <v>13</v>
      </c>
      <c r="M14">
        <v>2345</v>
      </c>
      <c r="S14" t="s">
        <v>13</v>
      </c>
      <c r="T14">
        <v>1379</v>
      </c>
      <c r="Z14" t="s">
        <v>13</v>
      </c>
      <c r="AA14">
        <v>2917</v>
      </c>
      <c r="AG14" t="s">
        <v>13</v>
      </c>
      <c r="AH14">
        <v>4583</v>
      </c>
      <c r="AN14" t="s">
        <v>13</v>
      </c>
      <c r="AO14">
        <v>5137</v>
      </c>
      <c r="AU14" t="s">
        <v>13</v>
      </c>
      <c r="AV14">
        <v>6271</v>
      </c>
      <c r="BB14" t="s">
        <v>13</v>
      </c>
      <c r="BC14">
        <v>7394</v>
      </c>
      <c r="BI14" t="s">
        <v>13</v>
      </c>
      <c r="BJ14">
        <v>8429</v>
      </c>
      <c r="BP14" t="s">
        <v>13</v>
      </c>
      <c r="BQ14">
        <v>9153</v>
      </c>
      <c r="BW14" t="s">
        <v>13</v>
      </c>
      <c r="BX14">
        <v>1027</v>
      </c>
      <c r="CD14" t="s">
        <v>13</v>
      </c>
      <c r="CE14">
        <v>1689</v>
      </c>
      <c r="CK14" t="s">
        <v>13</v>
      </c>
      <c r="CL14">
        <v>2746</v>
      </c>
      <c r="CR14" t="s">
        <v>13</v>
      </c>
      <c r="CS14">
        <v>3568</v>
      </c>
      <c r="CY14" t="s">
        <v>13</v>
      </c>
      <c r="CZ14">
        <v>4672</v>
      </c>
      <c r="DF14" t="s">
        <v>13</v>
      </c>
      <c r="DG14">
        <v>5843</v>
      </c>
      <c r="DM14" t="s">
        <v>13</v>
      </c>
      <c r="DN14">
        <v>6931</v>
      </c>
      <c r="DT14" t="s">
        <v>13</v>
      </c>
      <c r="DU14">
        <v>7528</v>
      </c>
      <c r="EA14" t="s">
        <v>13</v>
      </c>
      <c r="EB14">
        <v>8245</v>
      </c>
      <c r="EH14" t="s">
        <v>13</v>
      </c>
      <c r="EI14">
        <v>9136</v>
      </c>
      <c r="EO14" t="s">
        <v>13</v>
      </c>
      <c r="EP14">
        <v>9817</v>
      </c>
    </row>
    <row r="15" spans="4:150" x14ac:dyDescent="0.25">
      <c r="D15" s="2" t="s">
        <v>1</v>
      </c>
      <c r="E15" s="2" t="s">
        <v>2</v>
      </c>
      <c r="F15" s="2" t="s">
        <v>3</v>
      </c>
      <c r="G15" s="2" t="s">
        <v>4</v>
      </c>
      <c r="H15" s="2" t="s">
        <v>5</v>
      </c>
      <c r="L15" s="5" t="s">
        <v>9</v>
      </c>
      <c r="M15" s="3" t="s">
        <v>8</v>
      </c>
      <c r="N15" s="3" t="s">
        <v>6</v>
      </c>
      <c r="O15" s="3" t="s">
        <v>7</v>
      </c>
      <c r="P15" s="6" t="s">
        <v>11</v>
      </c>
      <c r="Q15" s="6" t="s">
        <v>12</v>
      </c>
      <c r="R15" s="9"/>
      <c r="S15" s="5" t="s">
        <v>9</v>
      </c>
      <c r="T15" s="3" t="s">
        <v>8</v>
      </c>
      <c r="U15" s="3" t="s">
        <v>6</v>
      </c>
      <c r="V15" s="3" t="s">
        <v>7</v>
      </c>
      <c r="W15" s="6" t="s">
        <v>11</v>
      </c>
      <c r="X15" s="6" t="s">
        <v>12</v>
      </c>
      <c r="Y15" s="9"/>
      <c r="Z15" s="5" t="s">
        <v>9</v>
      </c>
      <c r="AA15" s="3" t="s">
        <v>8</v>
      </c>
      <c r="AB15" s="3" t="s">
        <v>6</v>
      </c>
      <c r="AC15" s="3" t="s">
        <v>7</v>
      </c>
      <c r="AD15" s="6" t="s">
        <v>11</v>
      </c>
      <c r="AE15" s="6" t="s">
        <v>12</v>
      </c>
      <c r="AF15" s="9"/>
      <c r="AG15" s="5" t="s">
        <v>9</v>
      </c>
      <c r="AH15" s="3" t="s">
        <v>8</v>
      </c>
      <c r="AI15" s="3" t="s">
        <v>6</v>
      </c>
      <c r="AJ15" s="3" t="s">
        <v>7</v>
      </c>
      <c r="AK15" s="6" t="s">
        <v>11</v>
      </c>
      <c r="AL15" s="6" t="s">
        <v>12</v>
      </c>
      <c r="AM15" s="9"/>
      <c r="AN15" s="5" t="s">
        <v>9</v>
      </c>
      <c r="AO15" s="3" t="s">
        <v>8</v>
      </c>
      <c r="AP15" s="3" t="s">
        <v>6</v>
      </c>
      <c r="AQ15" s="3" t="s">
        <v>7</v>
      </c>
      <c r="AR15" s="6" t="s">
        <v>11</v>
      </c>
      <c r="AS15" s="6" t="s">
        <v>12</v>
      </c>
      <c r="AT15" s="9"/>
      <c r="AU15" s="5" t="s">
        <v>9</v>
      </c>
      <c r="AV15" s="3" t="s">
        <v>8</v>
      </c>
      <c r="AW15" s="3" t="s">
        <v>6</v>
      </c>
      <c r="AX15" s="3" t="s">
        <v>7</v>
      </c>
      <c r="AY15" s="6" t="s">
        <v>11</v>
      </c>
      <c r="AZ15" s="6" t="s">
        <v>12</v>
      </c>
      <c r="BA15" s="9"/>
      <c r="BB15" s="5" t="s">
        <v>9</v>
      </c>
      <c r="BC15" s="3" t="s">
        <v>8</v>
      </c>
      <c r="BD15" s="3" t="s">
        <v>6</v>
      </c>
      <c r="BE15" s="3" t="s">
        <v>7</v>
      </c>
      <c r="BF15" s="6" t="s">
        <v>11</v>
      </c>
      <c r="BG15" s="6" t="s">
        <v>12</v>
      </c>
      <c r="BH15" s="9"/>
      <c r="BI15" s="5" t="s">
        <v>9</v>
      </c>
      <c r="BJ15" s="3" t="s">
        <v>8</v>
      </c>
      <c r="BK15" s="3" t="s">
        <v>6</v>
      </c>
      <c r="BL15" s="3" t="s">
        <v>7</v>
      </c>
      <c r="BM15" s="6" t="s">
        <v>11</v>
      </c>
      <c r="BN15" s="6" t="s">
        <v>12</v>
      </c>
      <c r="BO15" s="9"/>
      <c r="BP15" s="5" t="s">
        <v>9</v>
      </c>
      <c r="BQ15" s="3" t="s">
        <v>8</v>
      </c>
      <c r="BR15" s="3" t="s">
        <v>6</v>
      </c>
      <c r="BS15" s="3" t="s">
        <v>7</v>
      </c>
      <c r="BT15" s="6" t="s">
        <v>11</v>
      </c>
      <c r="BU15" s="6" t="s">
        <v>12</v>
      </c>
      <c r="BV15" s="9"/>
      <c r="BW15" s="5" t="s">
        <v>9</v>
      </c>
      <c r="BX15" s="3" t="s">
        <v>8</v>
      </c>
      <c r="BY15" s="3" t="s">
        <v>6</v>
      </c>
      <c r="BZ15" s="3" t="s">
        <v>7</v>
      </c>
      <c r="CA15" s="6" t="s">
        <v>11</v>
      </c>
      <c r="CB15" s="6" t="s">
        <v>12</v>
      </c>
      <c r="CC15" s="9"/>
      <c r="CD15" s="5" t="s">
        <v>9</v>
      </c>
      <c r="CE15" s="3" t="s">
        <v>8</v>
      </c>
      <c r="CF15" s="3" t="s">
        <v>6</v>
      </c>
      <c r="CG15" s="3" t="s">
        <v>7</v>
      </c>
      <c r="CH15" s="6" t="s">
        <v>11</v>
      </c>
      <c r="CI15" s="6" t="s">
        <v>12</v>
      </c>
      <c r="CJ15" s="9"/>
      <c r="CK15" s="5" t="s">
        <v>9</v>
      </c>
      <c r="CL15" s="3" t="s">
        <v>8</v>
      </c>
      <c r="CM15" s="3" t="s">
        <v>6</v>
      </c>
      <c r="CN15" s="3" t="s">
        <v>7</v>
      </c>
      <c r="CO15" s="6" t="s">
        <v>11</v>
      </c>
      <c r="CP15" s="6" t="s">
        <v>12</v>
      </c>
      <c r="CQ15" s="9"/>
      <c r="CR15" s="5" t="s">
        <v>9</v>
      </c>
      <c r="CS15" s="3" t="s">
        <v>8</v>
      </c>
      <c r="CT15" s="3" t="s">
        <v>6</v>
      </c>
      <c r="CU15" s="3" t="s">
        <v>7</v>
      </c>
      <c r="CV15" s="6" t="s">
        <v>11</v>
      </c>
      <c r="CW15" s="6" t="s">
        <v>12</v>
      </c>
      <c r="CX15" s="9"/>
      <c r="CY15" s="5" t="s">
        <v>9</v>
      </c>
      <c r="CZ15" s="3" t="s">
        <v>8</v>
      </c>
      <c r="DA15" s="3" t="s">
        <v>6</v>
      </c>
      <c r="DB15" s="3" t="s">
        <v>7</v>
      </c>
      <c r="DC15" s="6" t="s">
        <v>11</v>
      </c>
      <c r="DD15" s="6" t="s">
        <v>12</v>
      </c>
      <c r="DE15" s="9"/>
      <c r="DF15" s="5" t="s">
        <v>9</v>
      </c>
      <c r="DG15" s="3" t="s">
        <v>8</v>
      </c>
      <c r="DH15" s="3" t="s">
        <v>6</v>
      </c>
      <c r="DI15" s="3" t="s">
        <v>7</v>
      </c>
      <c r="DJ15" s="6" t="s">
        <v>11</v>
      </c>
      <c r="DK15" s="6" t="s">
        <v>12</v>
      </c>
      <c r="DL15" s="9"/>
      <c r="DM15" s="5" t="s">
        <v>9</v>
      </c>
      <c r="DN15" s="3" t="s">
        <v>8</v>
      </c>
      <c r="DO15" s="3" t="s">
        <v>6</v>
      </c>
      <c r="DP15" s="3" t="s">
        <v>7</v>
      </c>
      <c r="DQ15" s="6" t="s">
        <v>11</v>
      </c>
      <c r="DR15" s="6" t="s">
        <v>12</v>
      </c>
      <c r="DS15" s="9"/>
      <c r="DT15" s="5" t="s">
        <v>9</v>
      </c>
      <c r="DU15" s="3" t="s">
        <v>8</v>
      </c>
      <c r="DV15" s="3" t="s">
        <v>6</v>
      </c>
      <c r="DW15" s="3" t="s">
        <v>7</v>
      </c>
      <c r="DX15" s="6" t="s">
        <v>11</v>
      </c>
      <c r="DY15" s="6" t="s">
        <v>12</v>
      </c>
      <c r="DZ15" s="9"/>
      <c r="EA15" s="5" t="s">
        <v>9</v>
      </c>
      <c r="EB15" s="3" t="s">
        <v>8</v>
      </c>
      <c r="EC15" s="3" t="s">
        <v>6</v>
      </c>
      <c r="ED15" s="3" t="s">
        <v>7</v>
      </c>
      <c r="EE15" s="6" t="s">
        <v>11</v>
      </c>
      <c r="EF15" s="6" t="s">
        <v>12</v>
      </c>
      <c r="EG15" s="9"/>
      <c r="EH15" s="5" t="s">
        <v>9</v>
      </c>
      <c r="EI15" s="3" t="s">
        <v>8</v>
      </c>
      <c r="EJ15" s="3" t="s">
        <v>6</v>
      </c>
      <c r="EK15" s="3" t="s">
        <v>7</v>
      </c>
      <c r="EL15" s="6" t="s">
        <v>11</v>
      </c>
      <c r="EM15" s="6" t="s">
        <v>12</v>
      </c>
      <c r="EN15" s="9"/>
      <c r="EO15" s="5" t="s">
        <v>9</v>
      </c>
      <c r="EP15" s="3" t="s">
        <v>8</v>
      </c>
      <c r="EQ15" s="3" t="s">
        <v>6</v>
      </c>
      <c r="ER15" s="3" t="s">
        <v>7</v>
      </c>
      <c r="ES15" s="6" t="s">
        <v>11</v>
      </c>
      <c r="ET15" s="6" t="s">
        <v>12</v>
      </c>
    </row>
    <row r="16" spans="4:150" x14ac:dyDescent="0.25">
      <c r="D16">
        <v>0</v>
      </c>
      <c r="E16" s="7">
        <f>(5^D16*EXP(-5))/FACT((D16))</f>
        <v>6.737946999085467E-3</v>
      </c>
      <c r="F16" s="4">
        <f>E16</f>
        <v>6.737946999085467E-3</v>
      </c>
      <c r="G16">
        <v>0</v>
      </c>
      <c r="H16" s="4">
        <f>F16</f>
        <v>6.737946999085467E-3</v>
      </c>
      <c r="L16" s="32">
        <v>1</v>
      </c>
      <c r="M16" s="9">
        <v>1</v>
      </c>
      <c r="N16" s="7">
        <v>3.5147997550666332E-5</v>
      </c>
      <c r="O16" s="9">
        <f>LOOKUP(N16,G$16:H$38,D$16:D$38)</f>
        <v>0</v>
      </c>
      <c r="P16" s="9">
        <f>O16</f>
        <v>0</v>
      </c>
      <c r="Q16" s="32">
        <f>SUM(O16:O23)</f>
        <v>32</v>
      </c>
      <c r="R16" s="9"/>
      <c r="S16" s="32">
        <v>1</v>
      </c>
      <c r="T16" s="9">
        <v>1</v>
      </c>
      <c r="U16" s="7">
        <v>2.0669132936745882E-5</v>
      </c>
      <c r="V16" s="9">
        <f>LOOKUP(U16,G$16:H$38,D$16:D$38)</f>
        <v>0</v>
      </c>
      <c r="W16" s="9">
        <f>V16</f>
        <v>0</v>
      </c>
      <c r="X16" s="32">
        <f>SUM(V16:V23)</f>
        <v>26</v>
      </c>
      <c r="Y16" s="9"/>
      <c r="Z16" s="32">
        <v>1</v>
      </c>
      <c r="AA16" s="9">
        <v>1</v>
      </c>
      <c r="AB16" s="7">
        <v>4.3721403926610947E-5</v>
      </c>
      <c r="AC16" s="9">
        <f>LOOKUP(AB16,G$16:H$38,D$16:D$38)</f>
        <v>0</v>
      </c>
      <c r="AD16" s="9">
        <f>AC16</f>
        <v>0</v>
      </c>
      <c r="AE16" s="32">
        <f>SUM(AC16:AC23)</f>
        <v>37</v>
      </c>
      <c r="AF16" s="9"/>
      <c r="AG16" s="32">
        <v>1</v>
      </c>
      <c r="AH16" s="9">
        <v>1</v>
      </c>
      <c r="AI16" s="7">
        <v>6.8692199420183897E-5</v>
      </c>
      <c r="AJ16" s="9">
        <f>LOOKUP(AI16,G$16:H$38,D$16:D$38)</f>
        <v>0</v>
      </c>
      <c r="AK16" s="9">
        <f>AJ16</f>
        <v>0</v>
      </c>
      <c r="AL16" s="32">
        <f>SUM(AJ16:AJ23)</f>
        <v>30</v>
      </c>
      <c r="AM16" s="9"/>
      <c r="AN16" s="32">
        <v>1</v>
      </c>
      <c r="AO16" s="9">
        <v>1</v>
      </c>
      <c r="AP16" s="7">
        <v>7.699581328779459E-5</v>
      </c>
      <c r="AQ16" s="9">
        <f>LOOKUP(AP16,G$16:H$38,D$16:D$38)</f>
        <v>0</v>
      </c>
      <c r="AR16" s="9">
        <f>AQ16</f>
        <v>0</v>
      </c>
      <c r="AS16" s="32">
        <f>SUM(AQ16:AQ23)</f>
        <v>39</v>
      </c>
      <c r="AT16" s="9"/>
      <c r="AU16" s="32">
        <v>1</v>
      </c>
      <c r="AV16" s="9">
        <v>1</v>
      </c>
      <c r="AW16" s="7">
        <v>9.399274131283164E-5</v>
      </c>
      <c r="AX16" s="9">
        <f>LOOKUP(AW16,G$16:H$38,D$16:D$38)</f>
        <v>0</v>
      </c>
      <c r="AY16" s="9">
        <f>AX16</f>
        <v>0</v>
      </c>
      <c r="AZ16" s="32">
        <f>SUM(AX16:AX23)</f>
        <v>37</v>
      </c>
      <c r="BA16" s="9"/>
      <c r="BB16" s="32">
        <v>1</v>
      </c>
      <c r="BC16" s="9">
        <v>1</v>
      </c>
      <c r="BD16" s="7">
        <v>1.1082479613833129E-4</v>
      </c>
      <c r="BE16" s="9">
        <f>LOOKUP(BD16,G$16:H$38,D$16:D$38)</f>
        <v>0</v>
      </c>
      <c r="BF16" s="9">
        <f>BE16</f>
        <v>0</v>
      </c>
      <c r="BG16" s="32">
        <f>SUM(BE16:BE23)</f>
        <v>36</v>
      </c>
      <c r="BH16" s="9"/>
      <c r="BI16" s="32">
        <v>1</v>
      </c>
      <c r="BJ16" s="9">
        <v>1</v>
      </c>
      <c r="BK16" s="7">
        <v>1.2633786536753178E-4</v>
      </c>
      <c r="BL16" s="9">
        <f>LOOKUP(BK16,G$16:H$38,D$16:D$38)</f>
        <v>0</v>
      </c>
      <c r="BM16" s="9">
        <f>BL16</f>
        <v>0</v>
      </c>
      <c r="BN16" s="32">
        <f>SUM(BL16:BL23)</f>
        <v>38</v>
      </c>
      <c r="BO16" s="9"/>
      <c r="BP16" s="32">
        <v>1</v>
      </c>
      <c r="BQ16" s="9">
        <v>1</v>
      </c>
      <c r="BR16" s="7">
        <v>1.3718951959162951E-4</v>
      </c>
      <c r="BS16" s="9">
        <f>LOOKUP(BR16,G$16:H$38,D$16:D$38)</f>
        <v>0</v>
      </c>
      <c r="BT16" s="9">
        <f>BS16</f>
        <v>0</v>
      </c>
      <c r="BU16" s="32">
        <f>SUM(BS16:BS23)</f>
        <v>38</v>
      </c>
      <c r="BV16" s="9"/>
      <c r="BW16" s="32">
        <v>1</v>
      </c>
      <c r="BX16" s="9">
        <v>1</v>
      </c>
      <c r="BY16" s="7">
        <v>1.5393190551549196E-5</v>
      </c>
      <c r="BZ16" s="9">
        <f>LOOKUP(BY16,G$16:H$38,D$16:D$38)</f>
        <v>0</v>
      </c>
      <c r="CA16" s="9">
        <f>BZ16</f>
        <v>0</v>
      </c>
      <c r="CB16" s="32">
        <f>SUM(BZ16:BZ23)</f>
        <v>26</v>
      </c>
      <c r="CC16" s="9"/>
      <c r="CD16" s="32">
        <v>1</v>
      </c>
      <c r="CE16" s="9">
        <v>1</v>
      </c>
      <c r="CF16" s="7">
        <v>2.5315559469163418E-5</v>
      </c>
      <c r="CG16" s="9">
        <f>LOOKUP(CF16,G$16:H$38,D$16:D$38)</f>
        <v>0</v>
      </c>
      <c r="CH16" s="9">
        <f>CG16</f>
        <v>0</v>
      </c>
      <c r="CI16" s="32">
        <f>SUM(CG16:CG23)</f>
        <v>34</v>
      </c>
      <c r="CJ16" s="9"/>
      <c r="CK16" s="32">
        <v>1</v>
      </c>
      <c r="CL16" s="9">
        <v>1</v>
      </c>
      <c r="CM16" s="7">
        <v>4.1158375097438693E-5</v>
      </c>
      <c r="CN16" s="9">
        <f>LOOKUP(CM16,G$16:H$38,D$16:D$38)</f>
        <v>0</v>
      </c>
      <c r="CO16" s="9">
        <f>CN16</f>
        <v>0</v>
      </c>
      <c r="CP16" s="32">
        <f>SUM(CN16:CN23)</f>
        <v>28</v>
      </c>
      <c r="CQ16" s="9"/>
      <c r="CR16" s="32">
        <v>1</v>
      </c>
      <c r="CS16" s="9">
        <v>1</v>
      </c>
      <c r="CT16" s="7">
        <v>5.3478899644687772E-5</v>
      </c>
      <c r="CU16" s="9">
        <f>LOOKUP(CT16,G$16:H$38,D$16:D$38)</f>
        <v>0</v>
      </c>
      <c r="CV16" s="9">
        <f>CU16</f>
        <v>0</v>
      </c>
      <c r="CW16" s="32">
        <f>SUM(CU16:CU23)</f>
        <v>35</v>
      </c>
      <c r="CX16" s="9"/>
      <c r="CY16" s="32">
        <v>1</v>
      </c>
      <c r="CZ16" s="9">
        <v>1</v>
      </c>
      <c r="DA16" s="7">
        <v>7.0026173489168286E-5</v>
      </c>
      <c r="DB16" s="9">
        <f>LOOKUP(DA16,G$16:H$38,D$16:D$38)</f>
        <v>0</v>
      </c>
      <c r="DC16" s="9">
        <f>DB16</f>
        <v>0</v>
      </c>
      <c r="DD16" s="32">
        <f>SUM(DB16:DB23)</f>
        <v>34</v>
      </c>
      <c r="DE16" s="9"/>
      <c r="DF16" s="32">
        <v>1</v>
      </c>
      <c r="DG16" s="9">
        <v>1</v>
      </c>
      <c r="DH16" s="7">
        <v>8.7577675003558397E-5</v>
      </c>
      <c r="DI16" s="9">
        <f>LOOKUP(DH16,G$16:H$38,D$16:D$38)</f>
        <v>0</v>
      </c>
      <c r="DJ16" s="9">
        <f>DI16</f>
        <v>0</v>
      </c>
      <c r="DK16" s="32">
        <f>SUM(DI16:DI23)</f>
        <v>24</v>
      </c>
      <c r="DL16" s="9"/>
      <c r="DM16" s="32">
        <v>1</v>
      </c>
      <c r="DN16" s="9">
        <v>1</v>
      </c>
      <c r="DO16" s="7">
        <v>1.0388513328507543E-4</v>
      </c>
      <c r="DP16" s="9">
        <f>LOOKUP(DO16,G$16:H$38,D$16:D$38)</f>
        <v>0</v>
      </c>
      <c r="DQ16" s="9">
        <f>DP16</f>
        <v>0</v>
      </c>
      <c r="DR16" s="32">
        <f>SUM(DP16:DP23)</f>
        <v>34</v>
      </c>
      <c r="DS16" s="9"/>
      <c r="DT16" s="32">
        <v>1</v>
      </c>
      <c r="DU16" s="9">
        <v>1</v>
      </c>
      <c r="DV16" s="7">
        <v>1.1283325147815049E-4</v>
      </c>
      <c r="DW16" s="9">
        <f>LOOKUP(DV16,G$16:H$38,D$16:D$38)</f>
        <v>0</v>
      </c>
      <c r="DX16" s="9">
        <f>DW16</f>
        <v>0</v>
      </c>
      <c r="DY16" s="32">
        <f>SUM(DW16:DW23)</f>
        <v>41</v>
      </c>
      <c r="DZ16" s="9"/>
      <c r="EA16" s="32">
        <v>1</v>
      </c>
      <c r="EB16" s="9">
        <v>1</v>
      </c>
      <c r="EC16" s="7">
        <v>1.2357998639345169E-4</v>
      </c>
      <c r="ED16" s="9">
        <f>LOOKUP(EC16,G$16:H$38,D$16:D$38)</f>
        <v>0</v>
      </c>
      <c r="EE16" s="9">
        <f>ED16</f>
        <v>0</v>
      </c>
      <c r="EF16" s="32">
        <f>SUM(ED16:ED23)</f>
        <v>34</v>
      </c>
      <c r="EG16" s="9"/>
      <c r="EH16" s="32">
        <v>1</v>
      </c>
      <c r="EI16" s="9">
        <v>1</v>
      </c>
      <c r="EJ16" s="7">
        <v>1.369347155559808E-4</v>
      </c>
      <c r="EK16" s="9">
        <f>LOOKUP(EJ16,G$16:H$38,D$16:D$38)</f>
        <v>0</v>
      </c>
      <c r="EL16" s="9">
        <f>EK16</f>
        <v>0</v>
      </c>
      <c r="EM16" s="32">
        <f>SUM(EK16:EK23)</f>
        <v>33</v>
      </c>
      <c r="EN16" s="9"/>
      <c r="EO16" s="32">
        <v>1</v>
      </c>
      <c r="EP16" s="9">
        <v>1</v>
      </c>
      <c r="EQ16" s="7">
        <v>1.4714186545461416E-4</v>
      </c>
      <c r="ER16" s="9">
        <f>LOOKUP(EQ16,G$16:H$38,D$16:D$38)</f>
        <v>0</v>
      </c>
      <c r="ES16" s="9">
        <f>ER16</f>
        <v>0</v>
      </c>
      <c r="ET16" s="32">
        <f>SUM(ER16:ER23)</f>
        <v>26</v>
      </c>
    </row>
    <row r="17" spans="4:150" x14ac:dyDescent="0.25">
      <c r="D17">
        <v>1</v>
      </c>
      <c r="E17" s="7">
        <f>(5^D17*EXP(-5))/FACT((D17))</f>
        <v>3.3689734995427337E-2</v>
      </c>
      <c r="F17" s="4">
        <f>F16+E17</f>
        <v>4.0427681994512805E-2</v>
      </c>
      <c r="G17" s="4">
        <f>H16</f>
        <v>6.737946999085467E-3</v>
      </c>
      <c r="H17" s="4">
        <f>F17</f>
        <v>4.0427681994512805E-2</v>
      </c>
      <c r="L17" s="32"/>
      <c r="M17" s="9">
        <v>2</v>
      </c>
      <c r="N17" s="7">
        <v>1.8101218767696992E-2</v>
      </c>
      <c r="O17" s="9">
        <f>LOOKUP(N17,G$6:H$28,D$6:D$28)</f>
        <v>1</v>
      </c>
      <c r="P17" s="38">
        <f>AVERAGE(O$6:O17)</f>
        <v>0.5</v>
      </c>
      <c r="Q17" s="32"/>
      <c r="R17" s="9"/>
      <c r="S17" s="32"/>
      <c r="T17" s="9">
        <v>2</v>
      </c>
      <c r="U17" s="7">
        <v>1.064460349152796E-2</v>
      </c>
      <c r="V17" s="9">
        <f t="shared" ref="V17:V80" si="0">LOOKUP(U17,G$16:H$38,D$16:D$38)</f>
        <v>1</v>
      </c>
      <c r="W17" s="38">
        <f>AVERAGE(V$16:V17)</f>
        <v>0.5</v>
      </c>
      <c r="X17" s="32"/>
      <c r="Y17" s="9"/>
      <c r="Z17" s="32"/>
      <c r="AA17" s="9">
        <v>2</v>
      </c>
      <c r="AB17" s="7">
        <v>2.2516523051308468E-2</v>
      </c>
      <c r="AC17" s="9">
        <f t="shared" ref="AC17:AC80" si="1">LOOKUP(AB17,G$16:H$38,D$16:D$38)</f>
        <v>1</v>
      </c>
      <c r="AD17" s="38">
        <f>AVERAGE(AC$16:AC17)</f>
        <v>0.5</v>
      </c>
      <c r="AE17" s="32"/>
      <c r="AF17" s="9"/>
      <c r="AG17" s="32"/>
      <c r="AH17" s="9">
        <v>2</v>
      </c>
      <c r="AI17" s="7">
        <v>3.5376482730498537E-2</v>
      </c>
      <c r="AJ17" s="9">
        <f t="shared" ref="AJ17:AJ80" si="2">LOOKUP(AI17,G$16:H$38,D$16:D$38)</f>
        <v>1</v>
      </c>
      <c r="AK17" s="38">
        <f>AVERAGE(AJ$16:AJ17)</f>
        <v>0.5</v>
      </c>
      <c r="AL17" s="32"/>
      <c r="AM17" s="9"/>
      <c r="AN17" s="32"/>
      <c r="AO17" s="9">
        <v>2</v>
      </c>
      <c r="AP17" s="7">
        <v>3.9652843872318044E-2</v>
      </c>
      <c r="AQ17" s="9">
        <f t="shared" ref="AQ17:AQ80" si="3">LOOKUP(AP17,G$16:H$38,D$16:D$38)</f>
        <v>1</v>
      </c>
      <c r="AR17" s="38">
        <f>AVERAGE(AQ$16:AQ17)</f>
        <v>0.5</v>
      </c>
      <c r="AS17" s="32"/>
      <c r="AT17" s="9"/>
      <c r="AU17" s="32"/>
      <c r="AV17" s="9">
        <v>2</v>
      </c>
      <c r="AW17" s="7">
        <v>4.8406261805212125E-2</v>
      </c>
      <c r="AX17" s="9">
        <f t="shared" ref="AX17:AX80" si="4">LOOKUP(AW17,G$16:H$38,D$16:D$38)</f>
        <v>2</v>
      </c>
      <c r="AY17" s="38">
        <f>AVERAGE(AX$6:AX17)</f>
        <v>1</v>
      </c>
      <c r="AZ17" s="32"/>
      <c r="BA17" s="9"/>
      <c r="BB17" s="32"/>
      <c r="BC17" s="9">
        <v>2</v>
      </c>
      <c r="BD17" s="7">
        <v>5.7074770040344447E-2</v>
      </c>
      <c r="BE17" s="9">
        <f t="shared" ref="BE17:BE80" si="5">LOOKUP(BD17,G$16:H$38,D$16:D$38)</f>
        <v>2</v>
      </c>
      <c r="BF17" s="38">
        <f>AVERAGE(BE$6:BE17)</f>
        <v>1</v>
      </c>
      <c r="BG17" s="32"/>
      <c r="BH17" s="9"/>
      <c r="BI17" s="32"/>
      <c r="BJ17" s="9">
        <v>2</v>
      </c>
      <c r="BK17" s="7">
        <v>6.5064000693382695E-2</v>
      </c>
      <c r="BL17" s="9">
        <f t="shared" ref="BL17:BL80" si="6">LOOKUP(BK17,G$16:H$38,D$16:D$38)</f>
        <v>2</v>
      </c>
      <c r="BM17" s="38">
        <f>AVERAGE(BL$6:BL17)</f>
        <v>1</v>
      </c>
      <c r="BN17" s="32"/>
      <c r="BO17" s="9"/>
      <c r="BP17" s="32"/>
      <c r="BQ17" s="9">
        <v>2</v>
      </c>
      <c r="BR17" s="7">
        <v>7.0652602618793026E-2</v>
      </c>
      <c r="BS17" s="9">
        <f t="shared" ref="BS17:BS80" si="7">LOOKUP(BR17,G$16:H$38,D$16:D$38)</f>
        <v>2</v>
      </c>
      <c r="BT17" s="38">
        <f>AVERAGE(BS$6:BS17)</f>
        <v>1</v>
      </c>
      <c r="BU17" s="32"/>
      <c r="BV17" s="9"/>
      <c r="BW17" s="32"/>
      <c r="BX17" s="9">
        <v>2</v>
      </c>
      <c r="BY17" s="7">
        <v>7.9274931631516665E-3</v>
      </c>
      <c r="BZ17" s="9">
        <f t="shared" ref="BZ17:BZ80" si="8">LOOKUP(BY17,G$16:H$38,D$16:D$38)</f>
        <v>1</v>
      </c>
      <c r="CA17" s="38">
        <f>AVERAGE(BZ$6:BZ17)</f>
        <v>0.5</v>
      </c>
      <c r="CB17" s="32"/>
      <c r="CC17" s="9"/>
      <c r="CD17" s="32"/>
      <c r="CE17" s="9">
        <v>2</v>
      </c>
      <c r="CF17" s="7">
        <v>1.3037513155722991E-2</v>
      </c>
      <c r="CG17" s="9">
        <f>LOOKUP(CF17,G$16:H$38,D$16:D$38)</f>
        <v>1</v>
      </c>
      <c r="CH17" s="38">
        <f>AVERAGE(CG$6:CG17)</f>
        <v>0.5</v>
      </c>
      <c r="CI17" s="32"/>
      <c r="CJ17" s="9"/>
      <c r="CK17" s="32"/>
      <c r="CL17" s="9">
        <v>2</v>
      </c>
      <c r="CM17" s="7">
        <v>2.1196563204284757E-2</v>
      </c>
      <c r="CN17" s="9">
        <f t="shared" ref="CN17:CN80" si="9">LOOKUP(CM17,G$16:H$38,D$16:D$38)</f>
        <v>1</v>
      </c>
      <c r="CO17" s="38">
        <f>AVERAGE(CN$6:CN17)</f>
        <v>0.5</v>
      </c>
      <c r="CP17" s="32"/>
      <c r="CQ17" s="9"/>
      <c r="CR17" s="32"/>
      <c r="CS17" s="9">
        <v>2</v>
      </c>
      <c r="CT17" s="7">
        <v>2.7541633346118033E-2</v>
      </c>
      <c r="CU17" s="9">
        <f t="shared" ref="CU17:CU80" si="10">LOOKUP(CT17,G$16:H$38,D$16:D$38)</f>
        <v>1</v>
      </c>
      <c r="CV17" s="38">
        <f>AVERAGE(CU$6:CU17)</f>
        <v>0.5</v>
      </c>
      <c r="CW17" s="32"/>
      <c r="CX17" s="9"/>
      <c r="CY17" s="32"/>
      <c r="CZ17" s="9">
        <v>2</v>
      </c>
      <c r="DA17" s="7">
        <v>3.6063479376025498E-2</v>
      </c>
      <c r="DB17" s="9">
        <f t="shared" ref="DB17:DB80" si="11">LOOKUP(DA17,G$16:H$38,D$16:D$38)</f>
        <v>1</v>
      </c>
      <c r="DC17" s="38">
        <f>AVERAGE(DB$6:DB17)</f>
        <v>0.5</v>
      </c>
      <c r="DD17" s="32"/>
      <c r="DE17" s="9"/>
      <c r="DF17" s="32"/>
      <c r="DG17" s="9">
        <v>2</v>
      </c>
      <c r="DH17" s="7">
        <v>4.5102502655936405E-2</v>
      </c>
      <c r="DI17" s="9">
        <f t="shared" ref="DI17:DI80" si="12">LOOKUP(DH17,G$16:H$38,D$16:D$38)</f>
        <v>2</v>
      </c>
      <c r="DJ17" s="38">
        <f>AVERAGE(DI$6:DI17)</f>
        <v>1</v>
      </c>
      <c r="DK17" s="32"/>
      <c r="DL17" s="9"/>
      <c r="DM17" s="32"/>
      <c r="DN17" s="9">
        <v>2</v>
      </c>
      <c r="DO17" s="7">
        <v>5.3500843670917675E-2</v>
      </c>
      <c r="DP17" s="9">
        <f t="shared" ref="DP17:DP80" si="13">LOOKUP(DO17,G$16:H$38,D$16:D$38)</f>
        <v>2</v>
      </c>
      <c r="DQ17" s="38">
        <f>AVERAGE(DP$6:DP17)</f>
        <v>1</v>
      </c>
      <c r="DR17" s="32"/>
      <c r="DS17" s="9"/>
      <c r="DT17" s="32"/>
      <c r="DU17" s="9">
        <v>2</v>
      </c>
      <c r="DV17" s="7">
        <v>5.8109124540351331E-2</v>
      </c>
      <c r="DW17" s="9">
        <f t="shared" ref="DW17:DW80" si="14">LOOKUP(DV17,G$16:H$38,D$16:D$38)</f>
        <v>2</v>
      </c>
      <c r="DX17" s="38">
        <f>AVERAGE(DW$6:DW17)</f>
        <v>1</v>
      </c>
      <c r="DY17" s="32"/>
      <c r="DZ17" s="9"/>
      <c r="EA17" s="32"/>
      <c r="EB17" s="9">
        <v>2</v>
      </c>
      <c r="EC17" s="7">
        <v>6.3643693021731451E-2</v>
      </c>
      <c r="ED17" s="9">
        <f t="shared" ref="ED17:ED80" si="15">LOOKUP(EC17,G$16:H$38,D$16:D$38)</f>
        <v>2</v>
      </c>
      <c r="EE17" s="38">
        <f>AVERAGE(ED$6:ED17)</f>
        <v>1</v>
      </c>
      <c r="EF17" s="32"/>
      <c r="EG17" s="9"/>
      <c r="EH17" s="32"/>
      <c r="EI17" s="9">
        <v>2</v>
      </c>
      <c r="EJ17" s="7">
        <v>7.0521378540433943E-2</v>
      </c>
      <c r="EK17" s="9">
        <f t="shared" ref="EK17:EK80" si="16">LOOKUP(EJ17,G$16:H$38,D$16:D$38)</f>
        <v>2</v>
      </c>
      <c r="EL17" s="38">
        <f>AVERAGE(EK$6:EK17)</f>
        <v>1</v>
      </c>
      <c r="EM17" s="32"/>
      <c r="EN17" s="9"/>
      <c r="EO17" s="32"/>
      <c r="EP17" s="9">
        <v>2</v>
      </c>
      <c r="EQ17" s="7">
        <v>7.5778060738230124E-2</v>
      </c>
      <c r="ER17" s="9">
        <f t="shared" ref="ER17:ER80" si="17">LOOKUP(EQ17,G$16:H$38,D$16:D$38)</f>
        <v>2</v>
      </c>
      <c r="ES17" s="38">
        <f>AVERAGE(ER$6:ER17)</f>
        <v>1</v>
      </c>
      <c r="ET17" s="32"/>
    </row>
    <row r="18" spans="4:150" x14ac:dyDescent="0.25">
      <c r="D18">
        <v>2</v>
      </c>
      <c r="E18" s="7">
        <f>(5^D18*EXP(-5))/FACT((D18))</f>
        <v>8.4224337488568335E-2</v>
      </c>
      <c r="F18" s="4">
        <f t="shared" ref="F18:F38" si="18">F17+E18</f>
        <v>0.12465201948308113</v>
      </c>
      <c r="G18" s="4">
        <f t="shared" ref="G18:G38" si="19">H17</f>
        <v>4.0427681994512805E-2</v>
      </c>
      <c r="H18" s="4">
        <f t="shared" ref="H18:H38" si="20">F18</f>
        <v>0.12465201948308113</v>
      </c>
      <c r="L18" s="32"/>
      <c r="M18" s="9">
        <v>3</v>
      </c>
      <c r="N18" s="7">
        <v>0.32212766539305449</v>
      </c>
      <c r="O18" s="9">
        <f t="shared" ref="O18:O81" si="21">LOOKUP(N18,G$6:H$28,D$6:D$28)</f>
        <v>4</v>
      </c>
      <c r="P18" s="38">
        <f>AVERAGE(O$6:O18)</f>
        <v>1.6666666666666667</v>
      </c>
      <c r="Q18" s="32"/>
      <c r="R18" s="9"/>
      <c r="S18" s="32"/>
      <c r="T18" s="9">
        <v>3</v>
      </c>
      <c r="U18" s="7">
        <v>0.48197079816600308</v>
      </c>
      <c r="V18" s="9">
        <f t="shared" si="0"/>
        <v>5</v>
      </c>
      <c r="W18" s="38">
        <f>AVERAGE(V$16:V18)</f>
        <v>2</v>
      </c>
      <c r="X18" s="32"/>
      <c r="Y18" s="9"/>
      <c r="Z18" s="32"/>
      <c r="AA18" s="9">
        <v>3</v>
      </c>
      <c r="AB18" s="7">
        <v>0.59600937145296484</v>
      </c>
      <c r="AC18" s="9">
        <f t="shared" si="1"/>
        <v>5</v>
      </c>
      <c r="AD18" s="38">
        <f>AVERAGE(AC$16:AC18)</f>
        <v>2</v>
      </c>
      <c r="AE18" s="32"/>
      <c r="AF18" s="9"/>
      <c r="AG18" s="32"/>
      <c r="AH18" s="9">
        <v>3</v>
      </c>
      <c r="AI18" s="7">
        <v>0.2188886062358506</v>
      </c>
      <c r="AJ18" s="9">
        <f t="shared" si="2"/>
        <v>3</v>
      </c>
      <c r="AK18" s="38">
        <f>AVERAGE(AJ$16:AJ18)</f>
        <v>1.3333333333333333</v>
      </c>
      <c r="AL18" s="32"/>
      <c r="AM18" s="9"/>
      <c r="AN18" s="32"/>
      <c r="AO18" s="9">
        <v>3</v>
      </c>
      <c r="AP18" s="7">
        <v>0.42121459427289665</v>
      </c>
      <c r="AQ18" s="9">
        <f t="shared" si="3"/>
        <v>4</v>
      </c>
      <c r="AR18" s="38">
        <f>AVERAGE(AQ$16:AQ18)</f>
        <v>1.6666666666666667</v>
      </c>
      <c r="AS18" s="32"/>
      <c r="AT18" s="9"/>
      <c r="AU18" s="32"/>
      <c r="AV18" s="9">
        <v>3</v>
      </c>
      <c r="AW18" s="7">
        <v>0.9292248297133483</v>
      </c>
      <c r="AX18" s="9">
        <f t="shared" si="4"/>
        <v>8</v>
      </c>
      <c r="AY18" s="38">
        <f>AVERAGE(AX$6:AX18)</f>
        <v>3.3333333333333335</v>
      </c>
      <c r="AZ18" s="32"/>
      <c r="BA18" s="9"/>
      <c r="BB18" s="32"/>
      <c r="BC18" s="9">
        <v>3</v>
      </c>
      <c r="BD18" s="7">
        <v>0.39350657080649398</v>
      </c>
      <c r="BE18" s="9">
        <f t="shared" si="5"/>
        <v>4</v>
      </c>
      <c r="BF18" s="38">
        <f>AVERAGE(BE$6:BE18)</f>
        <v>2</v>
      </c>
      <c r="BG18" s="32"/>
      <c r="BH18" s="9"/>
      <c r="BI18" s="32"/>
      <c r="BJ18" s="9">
        <v>3</v>
      </c>
      <c r="BK18" s="7">
        <v>0.50796035712119192</v>
      </c>
      <c r="BL18" s="9">
        <f t="shared" si="6"/>
        <v>5</v>
      </c>
      <c r="BM18" s="38">
        <f>AVERAGE(BL$6:BL18)</f>
        <v>2.3333333333333335</v>
      </c>
      <c r="BN18" s="32"/>
      <c r="BO18" s="9"/>
      <c r="BP18" s="32"/>
      <c r="BQ18" s="9">
        <v>3</v>
      </c>
      <c r="BR18" s="7">
        <v>0.38609034870751202</v>
      </c>
      <c r="BS18" s="9">
        <f t="shared" si="7"/>
        <v>4</v>
      </c>
      <c r="BT18" s="38">
        <f>AVERAGE(BS$6:BS18)</f>
        <v>2</v>
      </c>
      <c r="BU18" s="32"/>
      <c r="BV18" s="9"/>
      <c r="BW18" s="32"/>
      <c r="BX18" s="9">
        <v>3</v>
      </c>
      <c r="BY18" s="7">
        <v>8.2658979052212089E-2</v>
      </c>
      <c r="BZ18" s="9">
        <f t="shared" si="8"/>
        <v>2</v>
      </c>
      <c r="CA18" s="38">
        <f>AVERAGE(BZ$6:BZ18)</f>
        <v>1</v>
      </c>
      <c r="CB18" s="32"/>
      <c r="CC18" s="9"/>
      <c r="CD18" s="32"/>
      <c r="CE18" s="9">
        <v>3</v>
      </c>
      <c r="CF18" s="7">
        <v>0.71431927522644401</v>
      </c>
      <c r="CG18" s="9">
        <f t="shared" ref="CG18:CG80" si="22">LOOKUP(CF18,G$16:H$38,D$16:D$38)</f>
        <v>6</v>
      </c>
      <c r="CH18" s="38">
        <f>AVERAGE(CG$6:CG18)</f>
        <v>2.3333333333333335</v>
      </c>
      <c r="CI18" s="32"/>
      <c r="CJ18" s="9"/>
      <c r="CK18" s="32"/>
      <c r="CL18" s="9">
        <v>3</v>
      </c>
      <c r="CM18" s="7">
        <v>0.91623005023575388</v>
      </c>
      <c r="CN18" s="9">
        <f t="shared" si="9"/>
        <v>8</v>
      </c>
      <c r="CO18" s="38">
        <f>AVERAGE(CN$6:CN18)</f>
        <v>3</v>
      </c>
      <c r="CP18" s="32"/>
      <c r="CQ18" s="9"/>
      <c r="CR18" s="32"/>
      <c r="CS18" s="9">
        <v>3</v>
      </c>
      <c r="CT18" s="7">
        <v>0.18394117327989079</v>
      </c>
      <c r="CU18" s="9">
        <f t="shared" si="10"/>
        <v>3</v>
      </c>
      <c r="CV18" s="38">
        <f>AVERAGE(CU$6:CU18)</f>
        <v>1.3333333333333333</v>
      </c>
      <c r="CW18" s="32"/>
      <c r="CX18" s="9"/>
      <c r="CY18" s="32"/>
      <c r="CZ18" s="9">
        <v>3</v>
      </c>
      <c r="DA18" s="7">
        <v>0.57269187868223526</v>
      </c>
      <c r="DB18" s="9">
        <f t="shared" si="11"/>
        <v>5</v>
      </c>
      <c r="DC18" s="38">
        <f>AVERAGE(DB$6:DB18)</f>
        <v>2</v>
      </c>
      <c r="DD18" s="32"/>
      <c r="DE18" s="9"/>
      <c r="DF18" s="32"/>
      <c r="DG18" s="9">
        <v>3</v>
      </c>
      <c r="DH18" s="7">
        <v>0.22778886783635244</v>
      </c>
      <c r="DI18" s="9">
        <f t="shared" si="12"/>
        <v>3</v>
      </c>
      <c r="DJ18" s="38">
        <f>AVERAGE(DI$6:DI18)</f>
        <v>1.6666666666666667</v>
      </c>
      <c r="DK18" s="32"/>
      <c r="DL18" s="9"/>
      <c r="DM18" s="32"/>
      <c r="DN18" s="9">
        <v>3</v>
      </c>
      <c r="DO18" s="7">
        <v>0.5529344905517064</v>
      </c>
      <c r="DP18" s="9">
        <f t="shared" si="13"/>
        <v>5</v>
      </c>
      <c r="DQ18" s="38">
        <f>AVERAGE(DP$6:DP18)</f>
        <v>2.3333333333333335</v>
      </c>
      <c r="DR18" s="32"/>
      <c r="DS18" s="9"/>
      <c r="DT18" s="32"/>
      <c r="DU18" s="9">
        <v>3</v>
      </c>
      <c r="DV18" s="7">
        <v>0.92619913831003942</v>
      </c>
      <c r="DW18" s="9">
        <f t="shared" si="14"/>
        <v>8</v>
      </c>
      <c r="DX18" s="38">
        <f>AVERAGE(DW$6:DW18)</f>
        <v>3.3333333333333335</v>
      </c>
      <c r="DY18" s="32"/>
      <c r="DZ18" s="9"/>
      <c r="EA18" s="32"/>
      <c r="EB18" s="9">
        <v>3</v>
      </c>
      <c r="EC18" s="7">
        <v>0.77650190622080117</v>
      </c>
      <c r="ED18" s="9">
        <f t="shared" si="15"/>
        <v>7</v>
      </c>
      <c r="EE18" s="38">
        <f>AVERAGE(ED$6:ED18)</f>
        <v>3</v>
      </c>
      <c r="EF18" s="32"/>
      <c r="EG18" s="9"/>
      <c r="EH18" s="32"/>
      <c r="EI18" s="9">
        <v>3</v>
      </c>
      <c r="EJ18" s="7">
        <v>0.31850994835258462</v>
      </c>
      <c r="EK18" s="9">
        <f t="shared" si="16"/>
        <v>4</v>
      </c>
      <c r="EL18" s="38">
        <f>AVERAGE(EK$6:EK18)</f>
        <v>2</v>
      </c>
      <c r="EM18" s="32"/>
      <c r="EN18" s="9"/>
      <c r="EO18" s="32"/>
      <c r="EP18" s="9">
        <v>3</v>
      </c>
      <c r="EQ18" s="7">
        <v>2.570128021761775E-2</v>
      </c>
      <c r="ER18" s="9">
        <f t="shared" si="17"/>
        <v>1</v>
      </c>
      <c r="ES18" s="38">
        <f>AVERAGE(ER$6:ER18)</f>
        <v>1</v>
      </c>
      <c r="ET18" s="32"/>
    </row>
    <row r="19" spans="4:150" x14ac:dyDescent="0.25">
      <c r="D19">
        <v>3</v>
      </c>
      <c r="E19" s="7">
        <f>(5^D19*EXP(-5))/FACT((D19))</f>
        <v>0.14037389581428056</v>
      </c>
      <c r="F19" s="4">
        <f t="shared" si="18"/>
        <v>0.26502591529736169</v>
      </c>
      <c r="G19" s="4">
        <f t="shared" si="19"/>
        <v>0.12465201948308113</v>
      </c>
      <c r="H19" s="4">
        <f t="shared" si="20"/>
        <v>0.26502591529736169</v>
      </c>
      <c r="L19" s="32"/>
      <c r="M19" s="9">
        <v>4</v>
      </c>
      <c r="N19" s="7">
        <v>0.89574767745216377</v>
      </c>
      <c r="O19" s="9">
        <f t="shared" si="21"/>
        <v>8</v>
      </c>
      <c r="P19" s="38">
        <f>AVERAGE(O$6:O19)</f>
        <v>3.25</v>
      </c>
      <c r="Q19" s="32"/>
      <c r="R19" s="9"/>
      <c r="S19" s="32"/>
      <c r="T19" s="9">
        <v>4</v>
      </c>
      <c r="U19" s="7">
        <v>0.21496105552068911</v>
      </c>
      <c r="V19" s="9">
        <f t="shared" si="0"/>
        <v>3</v>
      </c>
      <c r="W19" s="38">
        <f>AVERAGE(V$16:V19)</f>
        <v>2.25</v>
      </c>
      <c r="X19" s="32"/>
      <c r="Y19" s="9"/>
      <c r="Z19" s="32"/>
      <c r="AA19" s="9">
        <v>4</v>
      </c>
      <c r="AB19" s="7">
        <v>0.94482629830599762</v>
      </c>
      <c r="AC19" s="9">
        <f t="shared" si="1"/>
        <v>9</v>
      </c>
      <c r="AD19" s="38">
        <f>AVERAGE(AC$16:AC19)</f>
        <v>3.75</v>
      </c>
      <c r="AE19" s="32"/>
      <c r="AF19" s="9"/>
      <c r="AG19" s="32"/>
      <c r="AH19" s="9">
        <v>4</v>
      </c>
      <c r="AI19" s="7">
        <v>0.72763221149216406</v>
      </c>
      <c r="AJ19" s="9">
        <f t="shared" si="2"/>
        <v>6</v>
      </c>
      <c r="AK19" s="38">
        <f>AVERAGE(AJ$16:AJ19)</f>
        <v>2.5</v>
      </c>
      <c r="AL19" s="32"/>
      <c r="AM19" s="9"/>
      <c r="AN19" s="32"/>
      <c r="AO19" s="9">
        <v>4</v>
      </c>
      <c r="AP19" s="7">
        <v>0.92551605057087727</v>
      </c>
      <c r="AQ19" s="9">
        <f t="shared" si="3"/>
        <v>8</v>
      </c>
      <c r="AR19" s="38">
        <f>AVERAGE(AQ$16:AQ19)</f>
        <v>3.25</v>
      </c>
      <c r="AS19" s="32"/>
      <c r="AT19" s="9"/>
      <c r="AU19" s="32"/>
      <c r="AV19" s="9">
        <v>4</v>
      </c>
      <c r="AW19" s="7">
        <v>0.55078730240347795</v>
      </c>
      <c r="AX19" s="9">
        <f t="shared" si="4"/>
        <v>5</v>
      </c>
      <c r="AY19" s="38">
        <f>AVERAGE(AX$6:AX19)</f>
        <v>3.75</v>
      </c>
      <c r="AZ19" s="32"/>
      <c r="BA19" s="9"/>
      <c r="BB19" s="32"/>
      <c r="BC19" s="9">
        <v>4</v>
      </c>
      <c r="BD19" s="7">
        <v>0.65588396537350491</v>
      </c>
      <c r="BE19" s="9">
        <f t="shared" si="5"/>
        <v>6</v>
      </c>
      <c r="BF19" s="38">
        <f>AVERAGE(BE$6:BE19)</f>
        <v>3</v>
      </c>
      <c r="BG19" s="32"/>
      <c r="BH19" s="9"/>
      <c r="BI19" s="32"/>
      <c r="BJ19" s="9">
        <v>4</v>
      </c>
      <c r="BK19" s="7">
        <v>0.59958391744294204</v>
      </c>
      <c r="BL19" s="9">
        <f t="shared" si="6"/>
        <v>5</v>
      </c>
      <c r="BM19" s="38">
        <f>AVERAGE(BL$6:BL19)</f>
        <v>3</v>
      </c>
      <c r="BN19" s="32"/>
      <c r="BO19" s="9"/>
      <c r="BP19" s="32"/>
      <c r="BQ19" s="9">
        <v>4</v>
      </c>
      <c r="BR19" s="7">
        <v>0.83652958439779468</v>
      </c>
      <c r="BS19" s="9">
        <f t="shared" si="7"/>
        <v>7</v>
      </c>
      <c r="BT19" s="38">
        <f>AVERAGE(BS$6:BS19)</f>
        <v>3.25</v>
      </c>
      <c r="BU19" s="32"/>
      <c r="BV19" s="9"/>
      <c r="BW19" s="32"/>
      <c r="BX19" s="9">
        <v>4</v>
      </c>
      <c r="BY19" s="7">
        <v>0.56937421191832982</v>
      </c>
      <c r="BZ19" s="9">
        <f t="shared" si="8"/>
        <v>5</v>
      </c>
      <c r="CA19" s="38">
        <f>AVERAGE(BZ$6:BZ19)</f>
        <v>2</v>
      </c>
      <c r="CB19" s="32"/>
      <c r="CC19" s="9"/>
      <c r="CD19" s="32"/>
      <c r="CE19" s="9">
        <v>4</v>
      </c>
      <c r="CF19" s="7">
        <v>0.8744267416477669</v>
      </c>
      <c r="CG19" s="9">
        <f t="shared" si="22"/>
        <v>8</v>
      </c>
      <c r="CH19" s="38">
        <f>AVERAGE(CG$6:CG19)</f>
        <v>3.75</v>
      </c>
      <c r="CI19" s="32"/>
      <c r="CJ19" s="9"/>
      <c r="CK19" s="32"/>
      <c r="CL19" s="9">
        <v>4</v>
      </c>
      <c r="CM19" s="7">
        <v>0.85847587144235149</v>
      </c>
      <c r="CN19" s="9">
        <f t="shared" si="9"/>
        <v>7</v>
      </c>
      <c r="CO19" s="38">
        <f>AVERAGE(CN$6:CN19)</f>
        <v>4</v>
      </c>
      <c r="CP19" s="32"/>
      <c r="CQ19" s="9"/>
      <c r="CR19" s="32"/>
      <c r="CS19" s="9">
        <v>4</v>
      </c>
      <c r="CT19" s="7">
        <v>0.72970423917286098</v>
      </c>
      <c r="CU19" s="9">
        <f t="shared" si="10"/>
        <v>6</v>
      </c>
      <c r="CV19" s="38">
        <f>AVERAGE(CU$6:CU19)</f>
        <v>2.5</v>
      </c>
      <c r="CW19" s="32"/>
      <c r="CX19" s="9"/>
      <c r="CY19" s="32"/>
      <c r="CZ19" s="9">
        <v>4</v>
      </c>
      <c r="DA19" s="7">
        <v>0.93631752138026059</v>
      </c>
      <c r="DB19" s="9">
        <f t="shared" si="11"/>
        <v>9</v>
      </c>
      <c r="DC19" s="38">
        <f>AVERAGE(DB$6:DB19)</f>
        <v>3.75</v>
      </c>
      <c r="DD19" s="32"/>
      <c r="DE19" s="9"/>
      <c r="DF19" s="32"/>
      <c r="DG19" s="9">
        <v>4</v>
      </c>
      <c r="DH19" s="7">
        <v>0.31126693575060926</v>
      </c>
      <c r="DI19" s="9">
        <f t="shared" si="12"/>
        <v>4</v>
      </c>
      <c r="DJ19" s="38">
        <f>AVERAGE(DI$6:DI19)</f>
        <v>2.25</v>
      </c>
      <c r="DK19" s="32"/>
      <c r="DL19" s="9"/>
      <c r="DM19" s="32"/>
      <c r="DN19" s="9">
        <v>4</v>
      </c>
      <c r="DO19" s="7">
        <v>0.76126263415790163</v>
      </c>
      <c r="DP19" s="9">
        <f t="shared" si="13"/>
        <v>6</v>
      </c>
      <c r="DQ19" s="38">
        <f>AVERAGE(DP$6:DP19)</f>
        <v>3.25</v>
      </c>
      <c r="DR19" s="32"/>
      <c r="DS19" s="9"/>
      <c r="DT19" s="32"/>
      <c r="DU19" s="9">
        <v>4</v>
      </c>
      <c r="DV19" s="7">
        <v>0.99255622969940305</v>
      </c>
      <c r="DW19" s="9">
        <f t="shared" si="14"/>
        <v>11</v>
      </c>
      <c r="DX19" s="38">
        <f>AVERAGE(DW$6:DW19)</f>
        <v>5.25</v>
      </c>
      <c r="DY19" s="32"/>
      <c r="DZ19" s="9"/>
      <c r="EA19" s="32"/>
      <c r="EB19" s="9">
        <v>4</v>
      </c>
      <c r="EC19" s="7">
        <v>0.89848170374170877</v>
      </c>
      <c r="ED19" s="9">
        <f t="shared" si="15"/>
        <v>8</v>
      </c>
      <c r="EE19" s="38">
        <f>AVERAGE(ED$6:ED19)</f>
        <v>4.25</v>
      </c>
      <c r="EF19" s="32"/>
      <c r="EG19" s="9"/>
      <c r="EH19" s="32"/>
      <c r="EI19" s="9">
        <v>4</v>
      </c>
      <c r="EJ19" s="7">
        <v>3.2623401610180736E-2</v>
      </c>
      <c r="EK19" s="9">
        <f t="shared" si="16"/>
        <v>1</v>
      </c>
      <c r="EL19" s="38">
        <f>AVERAGE(EK$6:EK19)</f>
        <v>1.75</v>
      </c>
      <c r="EM19" s="32"/>
      <c r="EN19" s="9"/>
      <c r="EO19" s="32"/>
      <c r="EP19" s="9">
        <v>4</v>
      </c>
      <c r="EQ19" s="7">
        <v>0.23615931210224517</v>
      </c>
      <c r="ER19" s="9">
        <f t="shared" si="17"/>
        <v>3</v>
      </c>
      <c r="ES19" s="38">
        <f>AVERAGE(ER$6:ER19)</f>
        <v>1.5</v>
      </c>
      <c r="ET19" s="32"/>
    </row>
    <row r="20" spans="4:150" x14ac:dyDescent="0.25">
      <c r="D20">
        <v>4</v>
      </c>
      <c r="E20" s="7">
        <f t="shared" ref="E20:E37" si="23">(5^D20*EXP(-5))/FACT((D20))</f>
        <v>0.17546736976785071</v>
      </c>
      <c r="F20" s="4">
        <f t="shared" si="18"/>
        <v>0.4404932850652124</v>
      </c>
      <c r="G20" s="4">
        <f t="shared" si="19"/>
        <v>0.26502591529736169</v>
      </c>
      <c r="H20" s="4">
        <f t="shared" si="20"/>
        <v>0.4404932850652124</v>
      </c>
      <c r="L20" s="32"/>
      <c r="M20" s="9">
        <v>5</v>
      </c>
      <c r="N20" s="7">
        <v>0.31005388789344579</v>
      </c>
      <c r="O20" s="9">
        <f t="shared" si="21"/>
        <v>4</v>
      </c>
      <c r="P20" s="38">
        <f>AVERAGE(O$6:O20)</f>
        <v>3.4</v>
      </c>
      <c r="Q20" s="32"/>
      <c r="R20" s="9"/>
      <c r="S20" s="32"/>
      <c r="T20" s="9">
        <v>5</v>
      </c>
      <c r="U20" s="7">
        <v>0.70494359318399802</v>
      </c>
      <c r="V20" s="9">
        <f t="shared" si="0"/>
        <v>6</v>
      </c>
      <c r="W20" s="38">
        <f>AVERAGE(V$6:V20)</f>
        <v>3</v>
      </c>
      <c r="X20" s="32"/>
      <c r="Y20" s="9"/>
      <c r="Z20" s="32"/>
      <c r="AA20" s="9">
        <v>5</v>
      </c>
      <c r="AB20" s="7">
        <v>0.5855436276178807</v>
      </c>
      <c r="AC20" s="9">
        <f t="shared" si="1"/>
        <v>5</v>
      </c>
      <c r="AD20" s="38">
        <f>AVERAGE(AC$6:AC20)</f>
        <v>4</v>
      </c>
      <c r="AE20" s="32"/>
      <c r="AF20" s="9"/>
      <c r="AG20" s="32"/>
      <c r="AH20" s="9">
        <v>5</v>
      </c>
      <c r="AI20" s="7">
        <v>0.73058891849359497</v>
      </c>
      <c r="AJ20" s="9">
        <f t="shared" si="2"/>
        <v>6</v>
      </c>
      <c r="AK20" s="38">
        <f>AVERAGE(AJ$6:AJ20)</f>
        <v>3.2</v>
      </c>
      <c r="AL20" s="32"/>
      <c r="AM20" s="9"/>
      <c r="AN20" s="32"/>
      <c r="AO20" s="9">
        <v>5</v>
      </c>
      <c r="AP20" s="7">
        <v>0.64076604403089732</v>
      </c>
      <c r="AQ20" s="9">
        <f t="shared" si="3"/>
        <v>6</v>
      </c>
      <c r="AR20" s="38">
        <f>AVERAGE(AQ$6:AQ20)</f>
        <v>3.8</v>
      </c>
      <c r="AS20" s="32"/>
      <c r="AT20" s="9"/>
      <c r="AU20" s="32"/>
      <c r="AV20" s="9">
        <v>5</v>
      </c>
      <c r="AW20" s="7">
        <v>0.65546073782024905</v>
      </c>
      <c r="AX20" s="9">
        <f t="shared" si="4"/>
        <v>6</v>
      </c>
      <c r="AY20" s="38">
        <f>AVERAGE(AX$6:AX20)</f>
        <v>4.2</v>
      </c>
      <c r="AZ20" s="32"/>
      <c r="BA20" s="9"/>
      <c r="BB20" s="32"/>
      <c r="BC20" s="9">
        <v>5</v>
      </c>
      <c r="BD20" s="7">
        <v>0.78024216738413088</v>
      </c>
      <c r="BE20" s="9">
        <f t="shared" si="5"/>
        <v>7</v>
      </c>
      <c r="BF20" s="38">
        <f>AVERAGE(BE$6:BE20)</f>
        <v>3.8</v>
      </c>
      <c r="BG20" s="32"/>
      <c r="BH20" s="9"/>
      <c r="BI20" s="32"/>
      <c r="BJ20" s="9">
        <v>5</v>
      </c>
      <c r="BK20" s="7">
        <v>0.78571748314425349</v>
      </c>
      <c r="BL20" s="9">
        <f t="shared" si="6"/>
        <v>7</v>
      </c>
      <c r="BM20" s="38">
        <f>AVERAGE(BL$6:BL20)</f>
        <v>3.8</v>
      </c>
      <c r="BN20" s="32"/>
      <c r="BO20" s="9"/>
      <c r="BP20" s="32"/>
      <c r="BQ20" s="9">
        <v>5</v>
      </c>
      <c r="BR20" s="7">
        <v>0.81273596489336342</v>
      </c>
      <c r="BS20" s="9">
        <f t="shared" si="7"/>
        <v>7</v>
      </c>
      <c r="BT20" s="38">
        <f>AVERAGE(BS$6:BS20)</f>
        <v>4</v>
      </c>
      <c r="BU20" s="32"/>
      <c r="BV20" s="9"/>
      <c r="BW20" s="32"/>
      <c r="BX20" s="9">
        <v>5</v>
      </c>
      <c r="BY20" s="7">
        <v>0.22771913796896115</v>
      </c>
      <c r="BZ20" s="9">
        <f t="shared" si="8"/>
        <v>3</v>
      </c>
      <c r="CA20" s="38">
        <f>AVERAGE(BZ$6:BZ20)</f>
        <v>2.2000000000000002</v>
      </c>
      <c r="CB20" s="32"/>
      <c r="CC20" s="9"/>
      <c r="CD20" s="32"/>
      <c r="CE20" s="9">
        <v>5</v>
      </c>
      <c r="CF20" s="7">
        <v>0.3297719486290589</v>
      </c>
      <c r="CG20" s="9">
        <f t="shared" si="22"/>
        <v>4</v>
      </c>
      <c r="CH20" s="38">
        <f>AVERAGE(CG$6:CG20)</f>
        <v>3.8</v>
      </c>
      <c r="CI20" s="32"/>
      <c r="CJ20" s="9"/>
      <c r="CK20" s="32"/>
      <c r="CL20" s="9">
        <v>5</v>
      </c>
      <c r="CM20" s="7">
        <v>0.11507379284012131</v>
      </c>
      <c r="CN20" s="9">
        <f t="shared" si="9"/>
        <v>2</v>
      </c>
      <c r="CO20" s="38">
        <f>AVERAGE(CN$6:CN20)</f>
        <v>3.6</v>
      </c>
      <c r="CP20" s="32"/>
      <c r="CQ20" s="9"/>
      <c r="CR20" s="32"/>
      <c r="CS20" s="9">
        <v>5</v>
      </c>
      <c r="CT20" s="7">
        <v>0.79768317405250855</v>
      </c>
      <c r="CU20" s="9">
        <f t="shared" si="10"/>
        <v>7</v>
      </c>
      <c r="CV20" s="38">
        <f>AVERAGE(CU$6:CU20)</f>
        <v>3.4</v>
      </c>
      <c r="CW20" s="32"/>
      <c r="CX20" s="9"/>
      <c r="CY20" s="32"/>
      <c r="CZ20" s="9">
        <v>5</v>
      </c>
      <c r="DA20" s="7">
        <v>0.203523510863306</v>
      </c>
      <c r="DB20" s="9">
        <f t="shared" si="11"/>
        <v>3</v>
      </c>
      <c r="DC20" s="38">
        <f>AVERAGE(DB$6:DB20)</f>
        <v>3.6</v>
      </c>
      <c r="DD20" s="32"/>
      <c r="DE20" s="9"/>
      <c r="DF20" s="32"/>
      <c r="DG20" s="9">
        <v>5</v>
      </c>
      <c r="DH20" s="7">
        <v>0.30247191159287468</v>
      </c>
      <c r="DI20" s="9">
        <f t="shared" si="12"/>
        <v>4</v>
      </c>
      <c r="DJ20" s="38">
        <f>AVERAGE(DI$6:DI20)</f>
        <v>2.6</v>
      </c>
      <c r="DK20" s="32"/>
      <c r="DL20" s="9"/>
      <c r="DM20" s="32"/>
      <c r="DN20" s="9">
        <v>5</v>
      </c>
      <c r="DO20" s="7">
        <v>5.025659134844318E-2</v>
      </c>
      <c r="DP20" s="9">
        <f t="shared" si="13"/>
        <v>2</v>
      </c>
      <c r="DQ20" s="38">
        <f>AVERAGE(DP$6:DP20)</f>
        <v>3</v>
      </c>
      <c r="DR20" s="32"/>
      <c r="DS20" s="9"/>
      <c r="DT20" s="32"/>
      <c r="DU20" s="9">
        <v>5</v>
      </c>
      <c r="DV20" s="7">
        <v>0.16645829522167332</v>
      </c>
      <c r="DW20" s="9">
        <f t="shared" si="14"/>
        <v>3</v>
      </c>
      <c r="DX20" s="38">
        <f>AVERAGE(DW$6:DW20)</f>
        <v>4.8</v>
      </c>
      <c r="DY20" s="32"/>
      <c r="DZ20" s="9"/>
      <c r="EA20" s="32"/>
      <c r="EB20" s="9">
        <v>5</v>
      </c>
      <c r="EC20" s="7">
        <v>0.71807742700912058</v>
      </c>
      <c r="ED20" s="9">
        <f t="shared" si="15"/>
        <v>6</v>
      </c>
      <c r="EE20" s="38">
        <f>AVERAGE(ED$6:ED20)</f>
        <v>4.5999999999999996</v>
      </c>
      <c r="EF20" s="32"/>
      <c r="EG20" s="9"/>
      <c r="EH20" s="32"/>
      <c r="EI20" s="9">
        <v>5</v>
      </c>
      <c r="EJ20" s="7">
        <v>0.80105182927218266</v>
      </c>
      <c r="EK20" s="9">
        <f t="shared" si="16"/>
        <v>7</v>
      </c>
      <c r="EL20" s="38">
        <f>AVERAGE(EK$6:EK20)</f>
        <v>2.8</v>
      </c>
      <c r="EM20" s="32"/>
      <c r="EN20" s="9"/>
      <c r="EO20" s="32"/>
      <c r="EP20" s="9">
        <v>5</v>
      </c>
      <c r="EQ20" s="7">
        <v>0.62204573268536478</v>
      </c>
      <c r="ER20" s="9">
        <f t="shared" si="17"/>
        <v>6</v>
      </c>
      <c r="ES20" s="38">
        <f>AVERAGE(ER$6:ER20)</f>
        <v>2.4</v>
      </c>
      <c r="ET20" s="32"/>
    </row>
    <row r="21" spans="4:150" x14ac:dyDescent="0.25">
      <c r="D21">
        <v>5</v>
      </c>
      <c r="E21" s="7">
        <f t="shared" si="23"/>
        <v>0.17546736976785071</v>
      </c>
      <c r="F21" s="4">
        <f t="shared" si="18"/>
        <v>0.61596065483306317</v>
      </c>
      <c r="G21" s="4">
        <f t="shared" si="19"/>
        <v>0.4404932850652124</v>
      </c>
      <c r="H21" s="4">
        <f t="shared" si="20"/>
        <v>0.61596065483306317</v>
      </c>
      <c r="L21" s="32"/>
      <c r="M21" s="9">
        <v>6</v>
      </c>
      <c r="N21" s="7">
        <v>0.67775226515368558</v>
      </c>
      <c r="O21" s="9">
        <f t="shared" si="21"/>
        <v>6</v>
      </c>
      <c r="P21" s="38">
        <f>AVERAGE(O$6:O21)</f>
        <v>3.8333333333333335</v>
      </c>
      <c r="Q21" s="32"/>
      <c r="R21" s="9"/>
      <c r="S21" s="32"/>
      <c r="T21" s="9">
        <v>6</v>
      </c>
      <c r="U21" s="7">
        <v>4.595048978808336E-2</v>
      </c>
      <c r="V21" s="9">
        <f t="shared" si="0"/>
        <v>2</v>
      </c>
      <c r="W21" s="38">
        <f>AVERAGE(V$6:V21)</f>
        <v>2.8333333333333335</v>
      </c>
      <c r="X21" s="32"/>
      <c r="Y21" s="9"/>
      <c r="Z21" s="32"/>
      <c r="AA21" s="9">
        <v>6</v>
      </c>
      <c r="AB21" s="7">
        <v>0.55496822323766537</v>
      </c>
      <c r="AC21" s="9">
        <f t="shared" si="1"/>
        <v>5</v>
      </c>
      <c r="AD21" s="38">
        <f>AVERAGE(AC$6:AC21)</f>
        <v>4.166666666666667</v>
      </c>
      <c r="AE21" s="32"/>
      <c r="AF21" s="9"/>
      <c r="AG21" s="32"/>
      <c r="AH21" s="9">
        <v>6</v>
      </c>
      <c r="AI21" s="7">
        <v>0.25329302423051558</v>
      </c>
      <c r="AJ21" s="9">
        <f t="shared" si="2"/>
        <v>3</v>
      </c>
      <c r="AK21" s="38">
        <f>AVERAGE(AJ$6:AJ21)</f>
        <v>3.1666666666666665</v>
      </c>
      <c r="AL21" s="32"/>
      <c r="AM21" s="9"/>
      <c r="AN21" s="32"/>
      <c r="AO21" s="9">
        <v>6</v>
      </c>
      <c r="AP21" s="7">
        <v>0.99451267594122328</v>
      </c>
      <c r="AQ21" s="9">
        <f t="shared" si="3"/>
        <v>11</v>
      </c>
      <c r="AR21" s="38">
        <f>AVERAGE(AQ$6:AQ21)</f>
        <v>5</v>
      </c>
      <c r="AS21" s="32"/>
      <c r="AT21" s="9"/>
      <c r="AU21" s="32"/>
      <c r="AV21" s="9">
        <v>6</v>
      </c>
      <c r="AW21" s="7">
        <v>0.56227997745736502</v>
      </c>
      <c r="AX21" s="9">
        <f t="shared" si="4"/>
        <v>5</v>
      </c>
      <c r="AY21" s="38">
        <f>AVERAGE(AX$6:AX21)</f>
        <v>4.333333333333333</v>
      </c>
      <c r="AZ21" s="32"/>
      <c r="BA21" s="9"/>
      <c r="BB21" s="32"/>
      <c r="BC21" s="9">
        <v>6</v>
      </c>
      <c r="BD21" s="7">
        <v>0.82471620285650715</v>
      </c>
      <c r="BE21" s="9">
        <f t="shared" si="5"/>
        <v>7</v>
      </c>
      <c r="BF21" s="38">
        <f>AVERAGE(BE$6:BE21)</f>
        <v>4.333333333333333</v>
      </c>
      <c r="BG21" s="32"/>
      <c r="BH21" s="9"/>
      <c r="BI21" s="32"/>
      <c r="BJ21" s="9">
        <v>6</v>
      </c>
      <c r="BK21" s="7">
        <v>0.64450381931965239</v>
      </c>
      <c r="BL21" s="9">
        <f t="shared" si="6"/>
        <v>6</v>
      </c>
      <c r="BM21" s="38">
        <f>AVERAGE(BL$6:BL21)</f>
        <v>4.166666666666667</v>
      </c>
      <c r="BN21" s="32"/>
      <c r="BO21" s="9"/>
      <c r="BP21" s="32"/>
      <c r="BQ21" s="9">
        <v>6</v>
      </c>
      <c r="BR21" s="7">
        <v>0.55902192011126317</v>
      </c>
      <c r="BS21" s="9">
        <f t="shared" si="7"/>
        <v>5</v>
      </c>
      <c r="BT21" s="38">
        <f>AVERAGE(BS$6:BS21)</f>
        <v>4.166666666666667</v>
      </c>
      <c r="BU21" s="32"/>
      <c r="BV21" s="9"/>
      <c r="BW21" s="32"/>
      <c r="BX21" s="9">
        <v>6</v>
      </c>
      <c r="BY21" s="7">
        <v>0.2753560540440958</v>
      </c>
      <c r="BZ21" s="9">
        <f t="shared" si="8"/>
        <v>4</v>
      </c>
      <c r="CA21" s="38">
        <f>AVERAGE(BZ$6:BZ21)</f>
        <v>2.5</v>
      </c>
      <c r="CB21" s="32"/>
      <c r="CC21" s="9"/>
      <c r="CD21" s="32"/>
      <c r="CE21" s="9">
        <v>6</v>
      </c>
      <c r="CF21" s="7">
        <v>0.83255354399443604</v>
      </c>
      <c r="CG21" s="9">
        <f t="shared" si="22"/>
        <v>7</v>
      </c>
      <c r="CH21" s="38">
        <f>AVERAGE(CG$6:CG21)</f>
        <v>4.333333333333333</v>
      </c>
      <c r="CI21" s="32"/>
      <c r="CJ21" s="9"/>
      <c r="CK21" s="32"/>
      <c r="CL21" s="9">
        <v>6</v>
      </c>
      <c r="CM21" s="7">
        <v>0.2630033126915805</v>
      </c>
      <c r="CN21" s="9">
        <f t="shared" si="9"/>
        <v>3</v>
      </c>
      <c r="CO21" s="38">
        <f>AVERAGE(CN$6:CN21)</f>
        <v>3.5</v>
      </c>
      <c r="CP21" s="32"/>
      <c r="CQ21" s="9"/>
      <c r="CR21" s="32"/>
      <c r="CS21" s="9">
        <v>6</v>
      </c>
      <c r="CT21" s="7">
        <v>0.806834637071006</v>
      </c>
      <c r="CU21" s="9">
        <f t="shared" si="10"/>
        <v>7</v>
      </c>
      <c r="CV21" s="38">
        <f>AVERAGE(CU$6:CU21)</f>
        <v>4</v>
      </c>
      <c r="CW21" s="32"/>
      <c r="CX21" s="9"/>
      <c r="CY21" s="32"/>
      <c r="CZ21" s="9">
        <v>6</v>
      </c>
      <c r="DA21" s="7">
        <v>0.81460809463169426</v>
      </c>
      <c r="DB21" s="9">
        <f t="shared" si="11"/>
        <v>7</v>
      </c>
      <c r="DC21" s="38">
        <f>AVERAGE(DB$6:DB21)</f>
        <v>4.166666666666667</v>
      </c>
      <c r="DD21" s="32"/>
      <c r="DE21" s="9"/>
      <c r="DF21" s="32"/>
      <c r="DG21" s="9">
        <v>6</v>
      </c>
      <c r="DH21" s="7">
        <v>0.77303447035956196</v>
      </c>
      <c r="DI21" s="9">
        <f t="shared" si="12"/>
        <v>7</v>
      </c>
      <c r="DJ21" s="38">
        <f>AVERAGE(DI$6:DI21)</f>
        <v>3.3333333333333335</v>
      </c>
      <c r="DK21" s="32"/>
      <c r="DL21" s="9"/>
      <c r="DM21" s="32"/>
      <c r="DN21" s="9">
        <v>6</v>
      </c>
      <c r="DO21" s="7">
        <v>0.8821445444773417</v>
      </c>
      <c r="DP21" s="9">
        <f t="shared" si="13"/>
        <v>8</v>
      </c>
      <c r="DQ21" s="38">
        <f>AVERAGE(DP$6:DP21)</f>
        <v>3.8333333333333335</v>
      </c>
      <c r="DR21" s="32"/>
      <c r="DS21" s="9"/>
      <c r="DT21" s="32"/>
      <c r="DU21" s="9">
        <v>6</v>
      </c>
      <c r="DV21" s="7">
        <v>0.72602203919086605</v>
      </c>
      <c r="DW21" s="9">
        <f t="shared" si="14"/>
        <v>6</v>
      </c>
      <c r="DX21" s="38">
        <f>AVERAGE(DW$6:DW21)</f>
        <v>5</v>
      </c>
      <c r="DY21" s="32"/>
      <c r="DZ21" s="9"/>
      <c r="EA21" s="32"/>
      <c r="EB21" s="9">
        <v>6</v>
      </c>
      <c r="EC21" s="7">
        <v>0.80987490972620435</v>
      </c>
      <c r="ED21" s="9">
        <f t="shared" si="15"/>
        <v>7</v>
      </c>
      <c r="EE21" s="38">
        <f>AVERAGE(ED$6:ED21)</f>
        <v>5</v>
      </c>
      <c r="EF21" s="32"/>
      <c r="EG21" s="9"/>
      <c r="EH21" s="32"/>
      <c r="EI21" s="9">
        <v>6</v>
      </c>
      <c r="EJ21" s="7">
        <v>0.54169207520317286</v>
      </c>
      <c r="EK21" s="9">
        <f t="shared" si="16"/>
        <v>5</v>
      </c>
      <c r="EL21" s="38">
        <f>AVERAGE(EK$6:EK21)</f>
        <v>3.1666666666666665</v>
      </c>
      <c r="EM21" s="32"/>
      <c r="EN21" s="9"/>
      <c r="EO21" s="32"/>
      <c r="EP21" s="9">
        <v>6</v>
      </c>
      <c r="EQ21" s="7">
        <v>0.35355233299196698</v>
      </c>
      <c r="ER21" s="9">
        <f t="shared" si="17"/>
        <v>4</v>
      </c>
      <c r="ES21" s="38">
        <f>AVERAGE(ER$6:ER21)</f>
        <v>2.6666666666666665</v>
      </c>
      <c r="ET21" s="32"/>
    </row>
    <row r="22" spans="4:150" x14ac:dyDescent="0.25">
      <c r="D22">
        <v>6</v>
      </c>
      <c r="E22" s="7">
        <f t="shared" si="23"/>
        <v>0.14622280813987559</v>
      </c>
      <c r="F22" s="4">
        <f t="shared" si="18"/>
        <v>0.76218346297293871</v>
      </c>
      <c r="G22" s="4">
        <f t="shared" si="19"/>
        <v>0.61596065483306317</v>
      </c>
      <c r="H22" s="4">
        <f t="shared" si="20"/>
        <v>0.76218346297293871</v>
      </c>
      <c r="L22" s="32"/>
      <c r="M22" s="9">
        <v>7</v>
      </c>
      <c r="N22" s="7">
        <v>4.2416554177179933E-2</v>
      </c>
      <c r="O22" s="9">
        <f t="shared" si="21"/>
        <v>2</v>
      </c>
      <c r="P22" s="38">
        <f>AVERAGE(O$6:O22)</f>
        <v>3.5714285714285716</v>
      </c>
      <c r="Q22" s="32"/>
      <c r="R22" s="9"/>
      <c r="S22" s="32"/>
      <c r="T22" s="9">
        <v>7</v>
      </c>
      <c r="U22" s="7">
        <v>0.66450224089203402</v>
      </c>
      <c r="V22" s="9">
        <f t="shared" si="0"/>
        <v>6</v>
      </c>
      <c r="W22" s="38">
        <f>AVERAGE(V$6:V22)</f>
        <v>3.2857142857142856</v>
      </c>
      <c r="X22" s="32"/>
      <c r="Y22" s="9"/>
      <c r="Z22" s="32"/>
      <c r="AA22" s="9">
        <v>7</v>
      </c>
      <c r="AB22" s="7">
        <v>0.80863496742676944</v>
      </c>
      <c r="AC22" s="9">
        <f t="shared" si="1"/>
        <v>7</v>
      </c>
      <c r="AD22" s="38">
        <f>AVERAGE(AC$6:AC22)</f>
        <v>4.5714285714285712</v>
      </c>
      <c r="AE22" s="32"/>
      <c r="AF22" s="9"/>
      <c r="AG22" s="32"/>
      <c r="AH22" s="9">
        <v>7</v>
      </c>
      <c r="AI22" s="7">
        <v>0.44590747874462977</v>
      </c>
      <c r="AJ22" s="9">
        <f t="shared" si="2"/>
        <v>5</v>
      </c>
      <c r="AK22" s="38">
        <f>AVERAGE(AJ$6:AJ22)</f>
        <v>3.4285714285714284</v>
      </c>
      <c r="AL22" s="32"/>
      <c r="AM22" s="9"/>
      <c r="AN22" s="32"/>
      <c r="AO22" s="9">
        <v>7</v>
      </c>
      <c r="AP22" s="7">
        <v>0.17402810975909233</v>
      </c>
      <c r="AQ22" s="9">
        <f t="shared" si="3"/>
        <v>3</v>
      </c>
      <c r="AR22" s="38">
        <f>AVERAGE(AQ$6:AQ22)</f>
        <v>4.7142857142857144</v>
      </c>
      <c r="AS22" s="32"/>
      <c r="AT22" s="9"/>
      <c r="AU22" s="32"/>
      <c r="AV22" s="9">
        <v>7</v>
      </c>
      <c r="AW22" s="7">
        <v>0.5741883905720897</v>
      </c>
      <c r="AX22" s="9">
        <f t="shared" si="4"/>
        <v>5</v>
      </c>
      <c r="AY22" s="38">
        <f>AVERAGE(AX$6:AX22)</f>
        <v>4.4285714285714288</v>
      </c>
      <c r="AZ22" s="32"/>
      <c r="BA22" s="9"/>
      <c r="BB22" s="32"/>
      <c r="BC22" s="9">
        <v>7</v>
      </c>
      <c r="BD22" s="7">
        <v>0.72884447113028727</v>
      </c>
      <c r="BE22" s="9">
        <f t="shared" si="5"/>
        <v>6</v>
      </c>
      <c r="BF22" s="38">
        <f>AVERAGE(BE$6:BE22)</f>
        <v>4.5714285714285712</v>
      </c>
      <c r="BG22" s="32"/>
      <c r="BH22" s="9"/>
      <c r="BI22" s="32"/>
      <c r="BJ22" s="9">
        <v>7</v>
      </c>
      <c r="BK22" s="7">
        <v>0.91946694965008646</v>
      </c>
      <c r="BL22" s="9">
        <f t="shared" si="6"/>
        <v>8</v>
      </c>
      <c r="BM22" s="38">
        <f>AVERAGE(BL$6:BL22)</f>
        <v>4.7142857142857144</v>
      </c>
      <c r="BN22" s="32"/>
      <c r="BO22" s="9"/>
      <c r="BP22" s="32"/>
      <c r="BQ22" s="9">
        <v>7</v>
      </c>
      <c r="BR22" s="7">
        <v>0.89628885732963681</v>
      </c>
      <c r="BS22" s="9">
        <f t="shared" si="7"/>
        <v>8</v>
      </c>
      <c r="BT22" s="38">
        <f>AVERAGE(BS$6:BS22)</f>
        <v>4.7142857142857144</v>
      </c>
      <c r="BU22" s="32"/>
      <c r="BV22" s="9"/>
      <c r="BW22" s="32"/>
      <c r="BX22" s="9">
        <v>7</v>
      </c>
      <c r="BY22" s="7">
        <v>0.80836783273844048</v>
      </c>
      <c r="BZ22" s="9">
        <f t="shared" si="8"/>
        <v>7</v>
      </c>
      <c r="CA22" s="38">
        <f>AVERAGE(BZ$6:BZ22)</f>
        <v>3.1428571428571428</v>
      </c>
      <c r="CB22" s="32"/>
      <c r="CC22" s="9"/>
      <c r="CD22" s="32"/>
      <c r="CE22" s="9">
        <v>7</v>
      </c>
      <c r="CF22" s="7">
        <v>0.7650751571636647</v>
      </c>
      <c r="CG22" s="9">
        <f t="shared" si="22"/>
        <v>7</v>
      </c>
      <c r="CH22" s="38">
        <f>AVERAGE(CG$6:CG22)</f>
        <v>4.7142857142857144</v>
      </c>
      <c r="CI22" s="32"/>
      <c r="CJ22" s="9"/>
      <c r="CK22" s="32"/>
      <c r="CL22" s="9">
        <v>7</v>
      </c>
      <c r="CM22" s="7">
        <v>0.44670603619306348</v>
      </c>
      <c r="CN22" s="9">
        <f t="shared" si="9"/>
        <v>5</v>
      </c>
      <c r="CO22" s="38">
        <f>AVERAGE(CN$6:CN22)</f>
        <v>3.7142857142857144</v>
      </c>
      <c r="CP22" s="32"/>
      <c r="CQ22" s="9"/>
      <c r="CR22" s="32"/>
      <c r="CS22" s="9">
        <v>7</v>
      </c>
      <c r="CT22" s="7">
        <v>0.51983809159719385</v>
      </c>
      <c r="CU22" s="9">
        <f t="shared" si="10"/>
        <v>5</v>
      </c>
      <c r="CV22" s="38">
        <f>AVERAGE(CU$6:CU22)</f>
        <v>4.1428571428571432</v>
      </c>
      <c r="CW22" s="32"/>
      <c r="CX22" s="9"/>
      <c r="CY22" s="32"/>
      <c r="CZ22" s="9">
        <v>7</v>
      </c>
      <c r="DA22" s="7">
        <v>0.52316873535164632</v>
      </c>
      <c r="DB22" s="9">
        <f t="shared" si="11"/>
        <v>5</v>
      </c>
      <c r="DC22" s="38">
        <f>AVERAGE(DB$6:DB22)</f>
        <v>4.2857142857142856</v>
      </c>
      <c r="DD22" s="32"/>
      <c r="DE22" s="9"/>
      <c r="DF22" s="32"/>
      <c r="DG22" s="9">
        <v>7</v>
      </c>
      <c r="DH22" s="7">
        <v>0.11275223520351574</v>
      </c>
      <c r="DI22" s="9">
        <f t="shared" si="12"/>
        <v>2</v>
      </c>
      <c r="DJ22" s="38">
        <f>AVERAGE(DI$6:DI22)</f>
        <v>3.1428571428571428</v>
      </c>
      <c r="DK22" s="32"/>
      <c r="DL22" s="9"/>
      <c r="DM22" s="32"/>
      <c r="DN22" s="9">
        <v>7</v>
      </c>
      <c r="DO22" s="7">
        <v>0.30444040586007759</v>
      </c>
      <c r="DP22" s="9">
        <f t="shared" si="13"/>
        <v>4</v>
      </c>
      <c r="DQ22" s="38">
        <f>AVERAGE(DP$6:DP22)</f>
        <v>3.8571428571428572</v>
      </c>
      <c r="DR22" s="32"/>
      <c r="DS22" s="9"/>
      <c r="DT22" s="32"/>
      <c r="DU22" s="9">
        <v>7</v>
      </c>
      <c r="DV22" s="7">
        <v>0.90135018332512118</v>
      </c>
      <c r="DW22" s="9">
        <f t="shared" si="14"/>
        <v>8</v>
      </c>
      <c r="DX22" s="38">
        <f>AVERAGE(DW$6:DW22)</f>
        <v>5.4285714285714288</v>
      </c>
      <c r="DY22" s="32"/>
      <c r="DZ22" s="9"/>
      <c r="EA22" s="32"/>
      <c r="EB22" s="9">
        <v>7</v>
      </c>
      <c r="EC22" s="7">
        <v>8.5578509024344385E-2</v>
      </c>
      <c r="ED22" s="9">
        <f t="shared" si="15"/>
        <v>2</v>
      </c>
      <c r="EE22" s="38">
        <f>AVERAGE(ED$6:ED22)</f>
        <v>4.5714285714285712</v>
      </c>
      <c r="EF22" s="32"/>
      <c r="EG22" s="9"/>
      <c r="EH22" s="32"/>
      <c r="EI22" s="9">
        <v>7</v>
      </c>
      <c r="EJ22" s="7">
        <v>0.97141872966312803</v>
      </c>
      <c r="EK22" s="9">
        <f t="shared" si="16"/>
        <v>10</v>
      </c>
      <c r="EL22" s="38">
        <f>AVERAGE(EK$6:EK22)</f>
        <v>4.1428571428571432</v>
      </c>
      <c r="EM22" s="32"/>
      <c r="EN22" s="9"/>
      <c r="EO22" s="32"/>
      <c r="EP22" s="9">
        <v>7</v>
      </c>
      <c r="EQ22" s="7">
        <v>7.9451490892097354E-2</v>
      </c>
      <c r="ER22" s="9">
        <f t="shared" si="17"/>
        <v>2</v>
      </c>
      <c r="ES22" s="38">
        <f>AVERAGE(ER$6:ER22)</f>
        <v>2.5714285714285716</v>
      </c>
      <c r="ET22" s="32"/>
    </row>
    <row r="23" spans="4:150" x14ac:dyDescent="0.25">
      <c r="D23">
        <v>7</v>
      </c>
      <c r="E23" s="7">
        <f t="shared" si="23"/>
        <v>0.104444862957054</v>
      </c>
      <c r="F23" s="4">
        <f t="shared" si="18"/>
        <v>0.86662832592999273</v>
      </c>
      <c r="G23" s="4">
        <f t="shared" si="19"/>
        <v>0.76218346297293871</v>
      </c>
      <c r="H23" s="4">
        <f t="shared" si="20"/>
        <v>0.86662832592999273</v>
      </c>
      <c r="L23" s="32"/>
      <c r="M23" s="9">
        <v>8</v>
      </c>
      <c r="N23" s="7">
        <v>0.84452540127676912</v>
      </c>
      <c r="O23" s="9">
        <f t="shared" si="21"/>
        <v>7</v>
      </c>
      <c r="P23" s="38">
        <f>AVERAGE(O$6:O23)</f>
        <v>4</v>
      </c>
      <c r="Q23" s="32"/>
      <c r="R23" s="9"/>
      <c r="S23" s="32"/>
      <c r="T23" s="9">
        <v>8</v>
      </c>
      <c r="U23" s="7">
        <v>0.21865405942662619</v>
      </c>
      <c r="V23" s="9">
        <f t="shared" si="0"/>
        <v>3</v>
      </c>
      <c r="W23" s="38">
        <f>AVERAGE(V$6:V23)</f>
        <v>3.25</v>
      </c>
      <c r="X23" s="32"/>
      <c r="Y23" s="9"/>
      <c r="Z23" s="32"/>
      <c r="AA23" s="9">
        <v>8</v>
      </c>
      <c r="AB23" s="7">
        <v>0.44700822481536306</v>
      </c>
      <c r="AC23" s="9">
        <f t="shared" si="1"/>
        <v>5</v>
      </c>
      <c r="AD23" s="38">
        <f>AVERAGE(AC$6:AC23)</f>
        <v>4.625</v>
      </c>
      <c r="AE23" s="32"/>
      <c r="AF23" s="9"/>
      <c r="AG23" s="32"/>
      <c r="AH23" s="9">
        <v>8</v>
      </c>
      <c r="AI23" s="7">
        <v>0.64235155351343565</v>
      </c>
      <c r="AJ23" s="9">
        <f t="shared" si="2"/>
        <v>6</v>
      </c>
      <c r="AK23" s="38">
        <f>AVERAGE(AJ$6:AJ23)</f>
        <v>3.75</v>
      </c>
      <c r="AL23" s="32"/>
      <c r="AM23" s="9"/>
      <c r="AN23" s="32"/>
      <c r="AO23" s="9">
        <v>8</v>
      </c>
      <c r="AP23" s="7">
        <v>0.62447652596165426</v>
      </c>
      <c r="AQ23" s="9">
        <f t="shared" si="3"/>
        <v>6</v>
      </c>
      <c r="AR23" s="38">
        <f>AVERAGE(AQ$6:AQ23)</f>
        <v>4.875</v>
      </c>
      <c r="AS23" s="32"/>
      <c r="AT23" s="9"/>
      <c r="AU23" s="32"/>
      <c r="AV23" s="9">
        <v>8</v>
      </c>
      <c r="AW23" s="7">
        <v>0.7070211446553003</v>
      </c>
      <c r="AX23" s="9">
        <f t="shared" si="4"/>
        <v>6</v>
      </c>
      <c r="AY23" s="38">
        <f>AVERAGE(AX$6:AX23)</f>
        <v>4.625</v>
      </c>
      <c r="AZ23" s="32"/>
      <c r="BA23" s="9"/>
      <c r="BB23" s="32"/>
      <c r="BC23" s="9">
        <v>8</v>
      </c>
      <c r="BD23" s="7">
        <v>0.35490263212705031</v>
      </c>
      <c r="BE23" s="9">
        <f t="shared" si="5"/>
        <v>4</v>
      </c>
      <c r="BF23" s="38">
        <f>AVERAGE(BE$6:BE23)</f>
        <v>4.5</v>
      </c>
      <c r="BG23" s="32"/>
      <c r="BH23" s="9"/>
      <c r="BI23" s="32"/>
      <c r="BJ23" s="9">
        <v>8</v>
      </c>
      <c r="BK23" s="7">
        <v>0.52547906982363202</v>
      </c>
      <c r="BL23" s="9">
        <f t="shared" si="6"/>
        <v>5</v>
      </c>
      <c r="BM23" s="38">
        <f>AVERAGE(BL$6:BL23)</f>
        <v>4.75</v>
      </c>
      <c r="BN23" s="32"/>
      <c r="BO23" s="9"/>
      <c r="BP23" s="32"/>
      <c r="BQ23" s="9">
        <v>8</v>
      </c>
      <c r="BR23" s="7">
        <v>0.58876152479206212</v>
      </c>
      <c r="BS23" s="9">
        <f t="shared" si="7"/>
        <v>5</v>
      </c>
      <c r="BT23" s="38">
        <f>AVERAGE(BS$6:BS23)</f>
        <v>4.75</v>
      </c>
      <c r="BU23" s="32"/>
      <c r="BV23" s="9"/>
      <c r="BW23" s="32"/>
      <c r="BX23" s="9">
        <v>8</v>
      </c>
      <c r="BY23" s="7">
        <v>0.30943386032595299</v>
      </c>
      <c r="BZ23" s="9">
        <f t="shared" si="8"/>
        <v>4</v>
      </c>
      <c r="CA23" s="38">
        <f>AVERAGE(BZ$6:BZ23)</f>
        <v>3.25</v>
      </c>
      <c r="CB23" s="32"/>
      <c r="CC23" s="9"/>
      <c r="CD23" s="32"/>
      <c r="CE23" s="9">
        <v>8</v>
      </c>
      <c r="CF23" s="7">
        <v>1.370593931642361E-2</v>
      </c>
      <c r="CG23" s="9">
        <f t="shared" si="22"/>
        <v>1</v>
      </c>
      <c r="CH23" s="38">
        <f>AVERAGE(CG$6:CG23)</f>
        <v>4.25</v>
      </c>
      <c r="CI23" s="32"/>
      <c r="CJ23" s="9"/>
      <c r="CK23" s="32"/>
      <c r="CL23" s="9">
        <v>8</v>
      </c>
      <c r="CM23" s="7">
        <v>5.3608639456797391E-2</v>
      </c>
      <c r="CN23" s="9">
        <f t="shared" si="9"/>
        <v>2</v>
      </c>
      <c r="CO23" s="38">
        <f>AVERAGE(CN$6:CN23)</f>
        <v>3.5</v>
      </c>
      <c r="CP23" s="32"/>
      <c r="CQ23" s="9"/>
      <c r="CR23" s="32"/>
      <c r="CS23" s="9">
        <v>8</v>
      </c>
      <c r="CT23" s="7">
        <v>0.71661717258393764</v>
      </c>
      <c r="CU23" s="9">
        <f t="shared" si="10"/>
        <v>6</v>
      </c>
      <c r="CV23" s="38">
        <f>AVERAGE(CU$6:CU23)</f>
        <v>4.375</v>
      </c>
      <c r="CW23" s="32"/>
      <c r="CX23" s="9"/>
      <c r="CY23" s="32"/>
      <c r="CZ23" s="9">
        <v>8</v>
      </c>
      <c r="DA23" s="7">
        <v>0.43189870612695813</v>
      </c>
      <c r="DB23" s="9">
        <f t="shared" si="11"/>
        <v>4</v>
      </c>
      <c r="DC23" s="38">
        <f>AVERAGE(DB$6:DB23)</f>
        <v>4.25</v>
      </c>
      <c r="DD23" s="32"/>
      <c r="DE23" s="9"/>
      <c r="DF23" s="32"/>
      <c r="DG23" s="9">
        <v>8</v>
      </c>
      <c r="DH23" s="7">
        <v>6.7401129839709029E-2</v>
      </c>
      <c r="DI23" s="9">
        <f t="shared" si="12"/>
        <v>2</v>
      </c>
      <c r="DJ23" s="38">
        <f>AVERAGE(DI$6:DI23)</f>
        <v>3</v>
      </c>
      <c r="DK23" s="32"/>
      <c r="DL23" s="9"/>
      <c r="DM23" s="32"/>
      <c r="DN23" s="9">
        <v>8</v>
      </c>
      <c r="DO23" s="7">
        <v>0.78680901796906255</v>
      </c>
      <c r="DP23" s="9">
        <f t="shared" si="13"/>
        <v>7</v>
      </c>
      <c r="DQ23" s="38">
        <f>AVERAGE(DP$6:DP23)</f>
        <v>4.25</v>
      </c>
      <c r="DR23" s="32"/>
      <c r="DS23" s="9"/>
      <c r="DT23" s="32"/>
      <c r="DU23" s="9">
        <v>8</v>
      </c>
      <c r="DV23" s="7">
        <v>0.19534441246651113</v>
      </c>
      <c r="DW23" s="9">
        <f t="shared" si="14"/>
        <v>3</v>
      </c>
      <c r="DX23" s="38">
        <f>AVERAGE(DW$6:DW23)</f>
        <v>5.125</v>
      </c>
      <c r="DY23" s="32"/>
      <c r="DZ23" s="9"/>
      <c r="EA23" s="32"/>
      <c r="EB23" s="9">
        <v>8</v>
      </c>
      <c r="EC23" s="7">
        <v>7.2932147566461936E-2</v>
      </c>
      <c r="ED23" s="9">
        <f t="shared" si="15"/>
        <v>2</v>
      </c>
      <c r="EE23" s="38">
        <f>AVERAGE(ED$6:ED23)</f>
        <v>4.25</v>
      </c>
      <c r="EF23" s="32"/>
      <c r="EG23" s="9"/>
      <c r="EH23" s="32"/>
      <c r="EI23" s="9">
        <v>8</v>
      </c>
      <c r="EJ23" s="7">
        <v>0.28064577654004097</v>
      </c>
      <c r="EK23" s="9">
        <f t="shared" si="16"/>
        <v>4</v>
      </c>
      <c r="EL23" s="38">
        <f>AVERAGE(EK$6:EK23)</f>
        <v>4.125</v>
      </c>
      <c r="EM23" s="32"/>
      <c r="EN23" s="9"/>
      <c r="EO23" s="32"/>
      <c r="EP23" s="9">
        <v>8</v>
      </c>
      <c r="EQ23" s="7">
        <v>0.91751780945924111</v>
      </c>
      <c r="ER23" s="9">
        <f t="shared" si="17"/>
        <v>8</v>
      </c>
      <c r="ES23" s="38">
        <f>AVERAGE(ER$6:ER23)</f>
        <v>3.25</v>
      </c>
      <c r="ET23" s="32"/>
    </row>
    <row r="24" spans="4:150" x14ac:dyDescent="0.25">
      <c r="D24">
        <v>8</v>
      </c>
      <c r="E24" s="7">
        <f t="shared" si="23"/>
        <v>6.5278039348158748E-2</v>
      </c>
      <c r="F24" s="4">
        <f t="shared" si="18"/>
        <v>0.93190636527815152</v>
      </c>
      <c r="G24" s="4">
        <f t="shared" si="19"/>
        <v>0.86662832592999273</v>
      </c>
      <c r="H24" s="4">
        <f t="shared" si="20"/>
        <v>0.93190636527815152</v>
      </c>
      <c r="L24" s="32">
        <v>2</v>
      </c>
      <c r="M24" s="9">
        <v>9</v>
      </c>
      <c r="N24" s="7">
        <v>0.93058165756519884</v>
      </c>
      <c r="O24" s="9">
        <f t="shared" si="21"/>
        <v>8</v>
      </c>
      <c r="P24" s="38">
        <f>AVERAGE(O$6:O24)</f>
        <v>4.4444444444444446</v>
      </c>
      <c r="Q24" s="32">
        <f t="shared" ref="Q24" si="24">SUM(O24:O31)</f>
        <v>44</v>
      </c>
      <c r="R24" s="9"/>
      <c r="S24" s="32">
        <v>2</v>
      </c>
      <c r="T24" s="9">
        <v>9</v>
      </c>
      <c r="U24" s="7">
        <v>0.60684060474159196</v>
      </c>
      <c r="V24" s="9">
        <f t="shared" si="0"/>
        <v>5</v>
      </c>
      <c r="W24" s="38">
        <f>AVERAGE(V$6:V24)</f>
        <v>3.4444444444444446</v>
      </c>
      <c r="X24" s="32">
        <f t="shared" ref="X24" si="25">SUM(V24:V31)</f>
        <v>42</v>
      </c>
      <c r="Y24" s="9"/>
      <c r="Z24" s="32">
        <v>2</v>
      </c>
      <c r="AA24" s="9">
        <v>9</v>
      </c>
      <c r="AB24" s="7">
        <v>0.209235779941082</v>
      </c>
      <c r="AC24" s="9">
        <f t="shared" si="1"/>
        <v>3</v>
      </c>
      <c r="AD24" s="38">
        <f>AVERAGE(AC$6:AC24)</f>
        <v>4.4444444444444446</v>
      </c>
      <c r="AE24" s="32">
        <f t="shared" ref="AE24" si="26">SUM(AC24:AC31)</f>
        <v>35</v>
      </c>
      <c r="AF24" s="9"/>
      <c r="AG24" s="32">
        <v>2</v>
      </c>
      <c r="AH24" s="9">
        <v>9</v>
      </c>
      <c r="AI24" s="7">
        <v>0.81105005944846198</v>
      </c>
      <c r="AJ24" s="9">
        <f t="shared" si="2"/>
        <v>7</v>
      </c>
      <c r="AK24" s="38">
        <f>AVERAGE(AJ$6:AJ24)</f>
        <v>4.1111111111111107</v>
      </c>
      <c r="AL24" s="32">
        <f t="shared" ref="AL24" si="27">SUM(AJ24:AJ31)</f>
        <v>49</v>
      </c>
      <c r="AM24" s="9"/>
      <c r="AN24" s="32">
        <v>2</v>
      </c>
      <c r="AO24" s="9">
        <v>9</v>
      </c>
      <c r="AP24" s="7">
        <v>0.60541087028104812</v>
      </c>
      <c r="AQ24" s="9">
        <f t="shared" si="3"/>
        <v>5</v>
      </c>
      <c r="AR24" s="38">
        <f>AVERAGE(AQ$6:AQ24)</f>
        <v>4.8888888888888893</v>
      </c>
      <c r="AS24" s="32">
        <f t="shared" ref="AS24" si="28">SUM(AQ24:AQ31)</f>
        <v>36</v>
      </c>
      <c r="AT24" s="9"/>
      <c r="AU24" s="32">
        <v>2</v>
      </c>
      <c r="AV24" s="9">
        <v>9</v>
      </c>
      <c r="AW24" s="7">
        <v>0.11588949750876054</v>
      </c>
      <c r="AX24" s="9">
        <f t="shared" si="4"/>
        <v>2</v>
      </c>
      <c r="AY24" s="38">
        <f>AVERAGE(AX$6:AX24)</f>
        <v>4.333333333333333</v>
      </c>
      <c r="AZ24" s="32">
        <f t="shared" ref="AZ24" si="29">SUM(AX24:AX31)</f>
        <v>40</v>
      </c>
      <c r="BA24" s="9"/>
      <c r="BB24" s="32">
        <v>2</v>
      </c>
      <c r="BC24" s="9">
        <v>9</v>
      </c>
      <c r="BD24" s="7">
        <v>0.77485554546001367</v>
      </c>
      <c r="BE24" s="9">
        <f t="shared" si="5"/>
        <v>7</v>
      </c>
      <c r="BF24" s="38">
        <f>AVERAGE(BE$6:BE24)</f>
        <v>4.7777777777777777</v>
      </c>
      <c r="BG24" s="32">
        <f t="shared" ref="BG24" si="30">SUM(BE24:BE31)</f>
        <v>42</v>
      </c>
      <c r="BH24" s="9"/>
      <c r="BI24" s="32">
        <v>2</v>
      </c>
      <c r="BJ24" s="9">
        <v>9</v>
      </c>
      <c r="BK24" s="7">
        <v>0.62172095919959247</v>
      </c>
      <c r="BL24" s="9">
        <f t="shared" si="6"/>
        <v>6</v>
      </c>
      <c r="BM24" s="38">
        <f>AVERAGE(BL$6:BL24)</f>
        <v>4.8888888888888893</v>
      </c>
      <c r="BN24" s="32">
        <f t="shared" ref="BN24" si="31">SUM(BL24:BL31)</f>
        <v>47</v>
      </c>
      <c r="BO24" s="9"/>
      <c r="BP24" s="32">
        <v>2</v>
      </c>
      <c r="BQ24" s="9">
        <v>9</v>
      </c>
      <c r="BR24" s="7">
        <v>0.21218526794109493</v>
      </c>
      <c r="BS24" s="9">
        <f t="shared" si="7"/>
        <v>3</v>
      </c>
      <c r="BT24" s="38">
        <f>AVERAGE(BS$6:BS24)</f>
        <v>4.5555555555555554</v>
      </c>
      <c r="BU24" s="32">
        <f t="shared" ref="BU24" si="32">SUM(BS24:BS31)</f>
        <v>42</v>
      </c>
      <c r="BV24" s="9"/>
      <c r="BW24" s="32">
        <v>2</v>
      </c>
      <c r="BX24" s="9">
        <v>9</v>
      </c>
      <c r="BY24" s="7">
        <v>0.35843806789489463</v>
      </c>
      <c r="BZ24" s="9">
        <f t="shared" si="8"/>
        <v>4</v>
      </c>
      <c r="CA24" s="38">
        <f>AVERAGE(BZ$6:BZ24)</f>
        <v>3.3333333333333335</v>
      </c>
      <c r="CB24" s="32">
        <f t="shared" ref="CB24" si="33">SUM(BZ24:BZ31)</f>
        <v>36</v>
      </c>
      <c r="CC24" s="9"/>
      <c r="CD24" s="32">
        <v>2</v>
      </c>
      <c r="CE24" s="9">
        <v>9</v>
      </c>
      <c r="CF24" s="7">
        <v>5.8558747987262905E-2</v>
      </c>
      <c r="CG24" s="9">
        <f t="shared" si="22"/>
        <v>2</v>
      </c>
      <c r="CH24" s="38">
        <f>AVERAGE(CG$6:CG24)</f>
        <v>4</v>
      </c>
      <c r="CI24" s="32">
        <f t="shared" ref="CI24" si="34">SUM(CG24:CG31)</f>
        <v>35</v>
      </c>
      <c r="CJ24" s="9"/>
      <c r="CK24" s="32">
        <v>2</v>
      </c>
      <c r="CL24" s="9">
        <v>9</v>
      </c>
      <c r="CM24" s="7">
        <v>0.60844932027976029</v>
      </c>
      <c r="CN24" s="9">
        <f t="shared" si="9"/>
        <v>5</v>
      </c>
      <c r="CO24" s="38">
        <f>AVERAGE(CN$6:CN24)</f>
        <v>3.6666666666666665</v>
      </c>
      <c r="CP24" s="32">
        <f t="shared" ref="CP24" si="35">SUM(CN24:CN31)</f>
        <v>47</v>
      </c>
      <c r="CQ24" s="9"/>
      <c r="CR24" s="32">
        <v>2</v>
      </c>
      <c r="CS24" s="9">
        <v>9</v>
      </c>
      <c r="CT24" s="7">
        <v>5.7843880756990984E-2</v>
      </c>
      <c r="CU24" s="9">
        <f t="shared" si="10"/>
        <v>2</v>
      </c>
      <c r="CV24" s="38">
        <f>AVERAGE(CU$6:CU24)</f>
        <v>4.1111111111111107</v>
      </c>
      <c r="CW24" s="32">
        <f t="shared" ref="CW24" si="36">SUM(CU24:CU31)</f>
        <v>44</v>
      </c>
      <c r="CX24" s="9"/>
      <c r="CY24" s="32">
        <v>2</v>
      </c>
      <c r="CZ24" s="9">
        <v>9</v>
      </c>
      <c r="DA24" s="7">
        <v>0.4278336554125417</v>
      </c>
      <c r="DB24" s="9">
        <f t="shared" si="11"/>
        <v>4</v>
      </c>
      <c r="DC24" s="38">
        <f>AVERAGE(DB$6:DB24)</f>
        <v>4.2222222222222223</v>
      </c>
      <c r="DD24" s="32">
        <f t="shared" ref="DD24" si="37">SUM(DB24:DB31)</f>
        <v>37</v>
      </c>
      <c r="DE24" s="9"/>
      <c r="DF24" s="32">
        <v>2</v>
      </c>
      <c r="DG24" s="9">
        <v>9</v>
      </c>
      <c r="DH24" s="7">
        <v>0.71158186747925356</v>
      </c>
      <c r="DI24" s="9">
        <f t="shared" si="12"/>
        <v>6</v>
      </c>
      <c r="DJ24" s="38">
        <f>AVERAGE(DI$6:DI24)</f>
        <v>3.3333333333333335</v>
      </c>
      <c r="DK24" s="32">
        <f t="shared" ref="DK24" si="38">SUM(DI24:DI31)</f>
        <v>41</v>
      </c>
      <c r="DL24" s="9"/>
      <c r="DM24" s="32">
        <v>2</v>
      </c>
      <c r="DN24" s="9">
        <v>9</v>
      </c>
      <c r="DO24" s="7">
        <v>0.20664425409631804</v>
      </c>
      <c r="DP24" s="9">
        <f t="shared" si="13"/>
        <v>3</v>
      </c>
      <c r="DQ24" s="38">
        <f>AVERAGE(DP$6:DP24)</f>
        <v>4.1111111111111107</v>
      </c>
      <c r="DR24" s="32">
        <f t="shared" ref="DR24" si="39">SUM(DP24:DP31)</f>
        <v>35</v>
      </c>
      <c r="DS24" s="9"/>
      <c r="DT24" s="32">
        <v>2</v>
      </c>
      <c r="DU24" s="9">
        <v>9</v>
      </c>
      <c r="DV24" s="7">
        <v>0.60237242028233595</v>
      </c>
      <c r="DW24" s="9">
        <f t="shared" si="14"/>
        <v>5</v>
      </c>
      <c r="DX24" s="38">
        <f>AVERAGE(DW$6:DW24)</f>
        <v>5.1111111111111107</v>
      </c>
      <c r="DY24" s="32">
        <f t="shared" ref="DY24" si="40">SUM(DW24:DW31)</f>
        <v>36</v>
      </c>
      <c r="DZ24" s="9"/>
      <c r="EA24" s="32">
        <v>2</v>
      </c>
      <c r="EB24" s="9">
        <v>9</v>
      </c>
      <c r="EC24" s="7">
        <v>0.56005599675700068</v>
      </c>
      <c r="ED24" s="9">
        <f t="shared" si="15"/>
        <v>5</v>
      </c>
      <c r="EE24" s="38">
        <f>AVERAGE(ED$6:ED24)</f>
        <v>4.333333333333333</v>
      </c>
      <c r="EF24" s="32">
        <f t="shared" ref="EF24" si="41">SUM(ED24:ED31)</f>
        <v>42</v>
      </c>
      <c r="EG24" s="9"/>
      <c r="EH24" s="32">
        <v>2</v>
      </c>
      <c r="EI24" s="9">
        <v>9</v>
      </c>
      <c r="EJ24" s="7">
        <v>0.5325749181502033</v>
      </c>
      <c r="EK24" s="9">
        <f t="shared" si="16"/>
        <v>5</v>
      </c>
      <c r="EL24" s="38">
        <f>AVERAGE(EK$6:EK24)</f>
        <v>4.2222222222222223</v>
      </c>
      <c r="EM24" s="32">
        <f t="shared" ref="EM24" si="42">SUM(EK24:EK31)</f>
        <v>36</v>
      </c>
      <c r="EN24" s="9"/>
      <c r="EO24" s="32">
        <v>2</v>
      </c>
      <c r="EP24" s="9">
        <v>9</v>
      </c>
      <c r="EQ24" s="7">
        <v>0.52167187153827399</v>
      </c>
      <c r="ER24" s="9">
        <f t="shared" si="17"/>
        <v>5</v>
      </c>
      <c r="ES24" s="38">
        <f>AVERAGE(ER$6:ER24)</f>
        <v>3.4444444444444446</v>
      </c>
      <c r="ET24" s="32">
        <f t="shared" ref="ET24" si="43">SUM(ER24:ER31)</f>
        <v>35</v>
      </c>
    </row>
    <row r="25" spans="4:150" x14ac:dyDescent="0.25">
      <c r="D25">
        <v>9</v>
      </c>
      <c r="E25" s="7">
        <f t="shared" si="23"/>
        <v>3.6265577415643749E-2</v>
      </c>
      <c r="F25" s="4">
        <f t="shared" si="18"/>
        <v>0.96817194269379525</v>
      </c>
      <c r="G25" s="4">
        <f t="shared" si="19"/>
        <v>0.93190636527815152</v>
      </c>
      <c r="H25" s="4">
        <f t="shared" si="20"/>
        <v>0.96817194269379525</v>
      </c>
      <c r="L25" s="32"/>
      <c r="M25" s="9">
        <v>10</v>
      </c>
      <c r="N25" s="7">
        <v>0.24955364610650577</v>
      </c>
      <c r="O25" s="9">
        <f t="shared" si="21"/>
        <v>3</v>
      </c>
      <c r="P25" s="38">
        <f>AVERAGE(O$6:O25)</f>
        <v>4.3</v>
      </c>
      <c r="Q25" s="32"/>
      <c r="R25" s="9"/>
      <c r="S25" s="32"/>
      <c r="T25" s="9">
        <v>10</v>
      </c>
      <c r="U25" s="7">
        <v>0.52291144194896333</v>
      </c>
      <c r="V25" s="9">
        <f t="shared" si="0"/>
        <v>5</v>
      </c>
      <c r="W25" s="38">
        <f>AVERAGE(V$6:V25)</f>
        <v>3.6</v>
      </c>
      <c r="X25" s="32"/>
      <c r="Y25" s="9"/>
      <c r="Z25" s="32"/>
      <c r="AA25" s="9">
        <v>10</v>
      </c>
      <c r="AB25" s="7">
        <v>0.75642666968633421</v>
      </c>
      <c r="AC25" s="9">
        <f t="shared" si="1"/>
        <v>6</v>
      </c>
      <c r="AD25" s="38">
        <f>AVERAGE(AC$6:AC25)</f>
        <v>4.5999999999999996</v>
      </c>
      <c r="AE25" s="32"/>
      <c r="AF25" s="9"/>
      <c r="AG25" s="32"/>
      <c r="AH25" s="9">
        <v>10</v>
      </c>
      <c r="AI25" s="7">
        <v>0.69078061598702334</v>
      </c>
      <c r="AJ25" s="9">
        <f t="shared" si="2"/>
        <v>6</v>
      </c>
      <c r="AK25" s="38">
        <f>AVERAGE(AJ$6:AJ25)</f>
        <v>4.3</v>
      </c>
      <c r="AL25" s="32"/>
      <c r="AM25" s="9"/>
      <c r="AN25" s="32"/>
      <c r="AO25" s="9">
        <v>10</v>
      </c>
      <c r="AP25" s="7">
        <v>0.78659819476888515</v>
      </c>
      <c r="AQ25" s="9">
        <f t="shared" si="3"/>
        <v>7</v>
      </c>
      <c r="AR25" s="38">
        <f>AVERAGE(AQ$6:AQ25)</f>
        <v>5.0999999999999996</v>
      </c>
      <c r="AS25" s="32"/>
      <c r="AT25" s="9"/>
      <c r="AU25" s="32"/>
      <c r="AV25" s="9">
        <v>10</v>
      </c>
      <c r="AW25" s="7">
        <v>0.68309121704078279</v>
      </c>
      <c r="AX25" s="9">
        <f t="shared" si="4"/>
        <v>6</v>
      </c>
      <c r="AY25" s="38">
        <f>AVERAGE(AX$6:AX25)</f>
        <v>4.5</v>
      </c>
      <c r="AZ25" s="32"/>
      <c r="BA25" s="9"/>
      <c r="BB25" s="32"/>
      <c r="BC25" s="9">
        <v>10</v>
      </c>
      <c r="BD25" s="7">
        <v>5.0605911936145276E-2</v>
      </c>
      <c r="BE25" s="9">
        <f t="shared" si="5"/>
        <v>2</v>
      </c>
      <c r="BF25" s="38">
        <f>AVERAGE(BE$6:BE25)</f>
        <v>4.5</v>
      </c>
      <c r="BG25" s="32"/>
      <c r="BH25" s="9"/>
      <c r="BI25" s="32"/>
      <c r="BJ25" s="9">
        <v>10</v>
      </c>
      <c r="BK25" s="7">
        <v>0.18629398781922646</v>
      </c>
      <c r="BL25" s="9">
        <f t="shared" si="6"/>
        <v>3</v>
      </c>
      <c r="BM25" s="38">
        <f>AVERAGE(BL$6:BL25)</f>
        <v>4.7</v>
      </c>
      <c r="BN25" s="32"/>
      <c r="BO25" s="9"/>
      <c r="BP25" s="32"/>
      <c r="BQ25" s="9">
        <v>10</v>
      </c>
      <c r="BR25" s="7">
        <v>0.27541298969299532</v>
      </c>
      <c r="BS25" s="9">
        <f t="shared" si="7"/>
        <v>4</v>
      </c>
      <c r="BT25" s="38">
        <f>AVERAGE(BS$6:BS25)</f>
        <v>4.5</v>
      </c>
      <c r="BU25" s="32"/>
      <c r="BV25" s="9"/>
      <c r="BW25" s="32"/>
      <c r="BX25" s="9">
        <v>10</v>
      </c>
      <c r="BY25" s="7">
        <v>0.59560496589983813</v>
      </c>
      <c r="BZ25" s="9">
        <f t="shared" si="8"/>
        <v>5</v>
      </c>
      <c r="CA25" s="38">
        <f>AVERAGE(BZ$6:BZ25)</f>
        <v>3.5</v>
      </c>
      <c r="CB25" s="32"/>
      <c r="CC25" s="9"/>
      <c r="CD25" s="32"/>
      <c r="CE25" s="9">
        <v>10</v>
      </c>
      <c r="CF25" s="7">
        <v>0.15775521346949972</v>
      </c>
      <c r="CG25" s="9">
        <f t="shared" si="22"/>
        <v>3</v>
      </c>
      <c r="CH25" s="38">
        <f>AVERAGE(CG$6:CG25)</f>
        <v>3.9</v>
      </c>
      <c r="CI25" s="32"/>
      <c r="CJ25" s="9"/>
      <c r="CK25" s="32"/>
      <c r="CL25" s="9">
        <v>10</v>
      </c>
      <c r="CM25" s="7">
        <v>0.35139994410565123</v>
      </c>
      <c r="CN25" s="9">
        <f t="shared" si="9"/>
        <v>4</v>
      </c>
      <c r="CO25" s="38">
        <f>AVERAGE(CN$6:CN25)</f>
        <v>3.7</v>
      </c>
      <c r="CP25" s="32"/>
      <c r="CQ25" s="9"/>
      <c r="CR25" s="32"/>
      <c r="CS25" s="9">
        <v>10</v>
      </c>
      <c r="CT25" s="7">
        <v>0.78959858987946063</v>
      </c>
      <c r="CU25" s="9">
        <f t="shared" si="10"/>
        <v>7</v>
      </c>
      <c r="CV25" s="38">
        <f>AVERAGE(CU$6:CU25)</f>
        <v>4.4000000000000004</v>
      </c>
      <c r="CW25" s="32"/>
      <c r="CX25" s="9"/>
      <c r="CY25" s="32"/>
      <c r="CZ25" s="9">
        <v>10</v>
      </c>
      <c r="DA25" s="7">
        <v>0.33433253748808056</v>
      </c>
      <c r="DB25" s="9">
        <f t="shared" si="11"/>
        <v>4</v>
      </c>
      <c r="DC25" s="38">
        <f>AVERAGE(DB$6:DB25)</f>
        <v>4.2</v>
      </c>
      <c r="DD25" s="32"/>
      <c r="DE25" s="9"/>
      <c r="DF25" s="32"/>
      <c r="DG25" s="9">
        <v>10</v>
      </c>
      <c r="DH25" s="7">
        <v>0.46466175184468739</v>
      </c>
      <c r="DI25" s="9">
        <f t="shared" si="12"/>
        <v>5</v>
      </c>
      <c r="DJ25" s="38">
        <f>AVERAGE(DI$6:DI25)</f>
        <v>3.5</v>
      </c>
      <c r="DK25" s="32"/>
      <c r="DL25" s="9"/>
      <c r="DM25" s="32"/>
      <c r="DN25" s="9">
        <v>10</v>
      </c>
      <c r="DO25" s="7">
        <v>0.42179085963289253</v>
      </c>
      <c r="DP25" s="9">
        <f t="shared" si="13"/>
        <v>4</v>
      </c>
      <c r="DQ25" s="38">
        <f>AVERAGE(DP$6:DP25)</f>
        <v>4.0999999999999996</v>
      </c>
      <c r="DR25" s="32"/>
      <c r="DS25" s="9"/>
      <c r="DT25" s="32"/>
      <c r="DU25" s="9">
        <v>10</v>
      </c>
      <c r="DV25" s="7">
        <v>0.22179644543211907</v>
      </c>
      <c r="DW25" s="9">
        <f t="shared" si="14"/>
        <v>3</v>
      </c>
      <c r="DX25" s="38">
        <f>AVERAGE(DW$6:DW25)</f>
        <v>4.9000000000000004</v>
      </c>
      <c r="DY25" s="32"/>
      <c r="DZ25" s="9"/>
      <c r="EA25" s="32"/>
      <c r="EB25" s="9">
        <v>10</v>
      </c>
      <c r="EC25" s="7">
        <v>0.42883832988445647</v>
      </c>
      <c r="ED25" s="9">
        <f t="shared" si="15"/>
        <v>4</v>
      </c>
      <c r="EE25" s="38">
        <f>AVERAGE(ED$6:ED25)</f>
        <v>4.3</v>
      </c>
      <c r="EF25" s="32"/>
      <c r="EG25" s="9"/>
      <c r="EH25" s="32"/>
      <c r="EI25" s="9">
        <v>10</v>
      </c>
      <c r="EJ25" s="7">
        <v>0.27608284738380462</v>
      </c>
      <c r="EK25" s="9">
        <f t="shared" si="16"/>
        <v>4</v>
      </c>
      <c r="EL25" s="38">
        <f>AVERAGE(EK$6:EK25)</f>
        <v>4.2</v>
      </c>
      <c r="EM25" s="32"/>
      <c r="EN25" s="9"/>
      <c r="EO25" s="32"/>
      <c r="EP25" s="9">
        <v>10</v>
      </c>
      <c r="EQ25" s="7">
        <v>0.66101384224020876</v>
      </c>
      <c r="ER25" s="9">
        <f t="shared" si="17"/>
        <v>6</v>
      </c>
      <c r="ES25" s="38">
        <f>AVERAGE(ER$6:ER25)</f>
        <v>3.7</v>
      </c>
      <c r="ET25" s="32"/>
    </row>
    <row r="26" spans="4:150" x14ac:dyDescent="0.25">
      <c r="D26">
        <v>10</v>
      </c>
      <c r="E26" s="7">
        <f t="shared" si="23"/>
        <v>1.8132788707821871E-2</v>
      </c>
      <c r="F26" s="4">
        <f t="shared" si="18"/>
        <v>0.98630473140161712</v>
      </c>
      <c r="G26" s="4">
        <f t="shared" si="19"/>
        <v>0.96817194269379525</v>
      </c>
      <c r="H26" s="4">
        <f t="shared" si="20"/>
        <v>0.98630473140161712</v>
      </c>
      <c r="L26" s="32"/>
      <c r="M26" s="9">
        <v>11</v>
      </c>
      <c r="N26" s="7">
        <v>0.52012774487957358</v>
      </c>
      <c r="O26" s="9">
        <f t="shared" si="21"/>
        <v>5</v>
      </c>
      <c r="P26" s="38">
        <f>AVERAGE(O$6:O26)</f>
        <v>4.3636363636363633</v>
      </c>
      <c r="Q26" s="32"/>
      <c r="R26" s="9"/>
      <c r="S26" s="32"/>
      <c r="T26" s="9">
        <v>11</v>
      </c>
      <c r="U26" s="7">
        <v>0.29939260374521837</v>
      </c>
      <c r="V26" s="9">
        <f t="shared" si="0"/>
        <v>4</v>
      </c>
      <c r="W26" s="38">
        <f>AVERAGE(V$6:V26)</f>
        <v>3.6363636363636362</v>
      </c>
      <c r="X26" s="32"/>
      <c r="Y26" s="9"/>
      <c r="Z26" s="32"/>
      <c r="AA26" s="9">
        <v>11</v>
      </c>
      <c r="AB26" s="7">
        <v>0.55973488849122077</v>
      </c>
      <c r="AC26" s="9">
        <f t="shared" si="1"/>
        <v>5</v>
      </c>
      <c r="AD26" s="38">
        <f>AVERAGE(AC$6:AC26)</f>
        <v>4.6363636363636367</v>
      </c>
      <c r="AE26" s="32"/>
      <c r="AF26" s="9"/>
      <c r="AG26" s="32"/>
      <c r="AH26" s="9">
        <v>11</v>
      </c>
      <c r="AI26" s="7">
        <v>0.75201723334612325</v>
      </c>
      <c r="AJ26" s="9">
        <f t="shared" si="2"/>
        <v>6</v>
      </c>
      <c r="AK26" s="38">
        <f>AVERAGE(AJ$6:AJ26)</f>
        <v>4.4545454545454541</v>
      </c>
      <c r="AL26" s="32"/>
      <c r="AM26" s="9"/>
      <c r="AN26" s="32"/>
      <c r="AO26" s="9">
        <v>11</v>
      </c>
      <c r="AP26" s="7">
        <v>9.8070306004956365E-2</v>
      </c>
      <c r="AQ26" s="9">
        <f t="shared" si="3"/>
        <v>2</v>
      </c>
      <c r="AR26" s="38">
        <f>AVERAGE(AQ$6:AQ26)</f>
        <v>4.8181818181818183</v>
      </c>
      <c r="AS26" s="32"/>
      <c r="AT26" s="9"/>
      <c r="AU26" s="32"/>
      <c r="AV26" s="9">
        <v>11</v>
      </c>
      <c r="AW26" s="7">
        <v>0.79197677603224292</v>
      </c>
      <c r="AX26" s="9">
        <f t="shared" si="4"/>
        <v>7</v>
      </c>
      <c r="AY26" s="38">
        <f>AVERAGE(AX$6:AX26)</f>
        <v>4.7272727272727275</v>
      </c>
      <c r="AZ26" s="32"/>
      <c r="BA26" s="9"/>
      <c r="BB26" s="32"/>
      <c r="BC26" s="9">
        <v>11</v>
      </c>
      <c r="BD26" s="7">
        <v>6.2044647143920884E-2</v>
      </c>
      <c r="BE26" s="9">
        <f t="shared" si="5"/>
        <v>2</v>
      </c>
      <c r="BF26" s="38">
        <f>AVERAGE(BE$6:BE26)</f>
        <v>4.2727272727272725</v>
      </c>
      <c r="BG26" s="32"/>
      <c r="BH26" s="9"/>
      <c r="BI26" s="32"/>
      <c r="BJ26" s="9">
        <v>11</v>
      </c>
      <c r="BK26" s="7">
        <v>0.94140372693073004</v>
      </c>
      <c r="BL26" s="9">
        <f t="shared" si="6"/>
        <v>9</v>
      </c>
      <c r="BM26" s="38">
        <f>AVERAGE(BL$6:BL26)</f>
        <v>5.0909090909090908</v>
      </c>
      <c r="BN26" s="32"/>
      <c r="BO26" s="9"/>
      <c r="BP26" s="32"/>
      <c r="BQ26" s="9">
        <v>11</v>
      </c>
      <c r="BR26" s="7">
        <v>0.83768969192169607</v>
      </c>
      <c r="BS26" s="9">
        <f t="shared" si="7"/>
        <v>7</v>
      </c>
      <c r="BT26" s="38">
        <f>AVERAGE(BS$6:BS26)</f>
        <v>4.7272727272727275</v>
      </c>
      <c r="BU26" s="32"/>
      <c r="BV26" s="9"/>
      <c r="BW26" s="32"/>
      <c r="BX26" s="9">
        <v>11</v>
      </c>
      <c r="BY26" s="7">
        <v>0.73655743844574317</v>
      </c>
      <c r="BZ26" s="9">
        <f t="shared" si="8"/>
        <v>6</v>
      </c>
      <c r="CA26" s="38">
        <f>AVERAGE(BZ$6:BZ26)</f>
        <v>3.7272727272727271</v>
      </c>
      <c r="CB26" s="32"/>
      <c r="CC26" s="9"/>
      <c r="CD26" s="32"/>
      <c r="CE26" s="9">
        <v>11</v>
      </c>
      <c r="CF26" s="7">
        <v>0.24393493682146072</v>
      </c>
      <c r="CG26" s="9">
        <f t="shared" si="22"/>
        <v>3</v>
      </c>
      <c r="CH26" s="38">
        <f>AVERAGE(CG$6:CG26)</f>
        <v>3.8181818181818183</v>
      </c>
      <c r="CI26" s="32"/>
      <c r="CJ26" s="9"/>
      <c r="CK26" s="32"/>
      <c r="CL26" s="9">
        <v>11</v>
      </c>
      <c r="CM26" s="7">
        <v>0.97097121443948708</v>
      </c>
      <c r="CN26" s="9">
        <f t="shared" si="9"/>
        <v>10</v>
      </c>
      <c r="CO26" s="38">
        <f>AVERAGE(CN$6:CN26)</f>
        <v>4.2727272727272725</v>
      </c>
      <c r="CP26" s="32"/>
      <c r="CQ26" s="9"/>
      <c r="CR26" s="32"/>
      <c r="CS26" s="9">
        <v>11</v>
      </c>
      <c r="CT26" s="7">
        <v>0.64327378795132972</v>
      </c>
      <c r="CU26" s="9">
        <f t="shared" si="10"/>
        <v>6</v>
      </c>
      <c r="CV26" s="38">
        <f>AVERAGE(CU$6:CU26)</f>
        <v>4.5454545454545459</v>
      </c>
      <c r="CW26" s="32"/>
      <c r="CX26" s="9"/>
      <c r="CY26" s="32"/>
      <c r="CZ26" s="9">
        <v>11</v>
      </c>
      <c r="DA26" s="7">
        <v>0.18125680639059283</v>
      </c>
      <c r="DB26" s="9">
        <f t="shared" si="11"/>
        <v>3</v>
      </c>
      <c r="DC26" s="38">
        <f>AVERAGE(DB$6:DB26)</f>
        <v>4.0909090909090908</v>
      </c>
      <c r="DD26" s="32"/>
      <c r="DE26" s="9"/>
      <c r="DF26" s="32"/>
      <c r="DG26" s="9">
        <v>11</v>
      </c>
      <c r="DH26" s="7">
        <v>0.30080220004310831</v>
      </c>
      <c r="DI26" s="9">
        <f t="shared" si="12"/>
        <v>4</v>
      </c>
      <c r="DJ26" s="38">
        <f>AVERAGE(DI$6:DI26)</f>
        <v>3.5454545454545454</v>
      </c>
      <c r="DK26" s="32"/>
      <c r="DL26" s="9"/>
      <c r="DM26" s="32"/>
      <c r="DN26" s="9">
        <v>11</v>
      </c>
      <c r="DO26" s="7">
        <v>0.22229271096875891</v>
      </c>
      <c r="DP26" s="9">
        <f t="shared" si="13"/>
        <v>3</v>
      </c>
      <c r="DQ26" s="38">
        <f>AVERAGE(DP$6:DP26)</f>
        <v>4</v>
      </c>
      <c r="DR26" s="32"/>
      <c r="DS26" s="9"/>
      <c r="DT26" s="32"/>
      <c r="DU26" s="9">
        <v>11</v>
      </c>
      <c r="DV26" s="7">
        <v>0.22516939757042564</v>
      </c>
      <c r="DW26" s="9">
        <f t="shared" si="14"/>
        <v>3</v>
      </c>
      <c r="DX26" s="38">
        <f>AVERAGE(DW$6:DW26)</f>
        <v>4.7272727272727275</v>
      </c>
      <c r="DY26" s="32"/>
      <c r="DZ26" s="9"/>
      <c r="EA26" s="32"/>
      <c r="EB26" s="9">
        <v>11</v>
      </c>
      <c r="EC26" s="7">
        <v>0.85173989052418619</v>
      </c>
      <c r="ED26" s="9">
        <f t="shared" si="15"/>
        <v>7</v>
      </c>
      <c r="EE26" s="38">
        <f>AVERAGE(ED$6:ED26)</f>
        <v>4.5454545454545459</v>
      </c>
      <c r="EF26" s="32"/>
      <c r="EG26" s="9"/>
      <c r="EH26" s="32"/>
      <c r="EI26" s="9">
        <v>11</v>
      </c>
      <c r="EJ26" s="7">
        <v>0.18266640268848278</v>
      </c>
      <c r="EK26" s="9">
        <f t="shared" si="16"/>
        <v>3</v>
      </c>
      <c r="EL26" s="38">
        <f>AVERAGE(EK$6:EK26)</f>
        <v>4.0909090909090908</v>
      </c>
      <c r="EM26" s="32"/>
      <c r="EN26" s="9"/>
      <c r="EO26" s="32"/>
      <c r="EP26" s="9">
        <v>11</v>
      </c>
      <c r="EQ26" s="7">
        <v>0.42212875373661518</v>
      </c>
      <c r="ER26" s="9">
        <f t="shared" si="17"/>
        <v>4</v>
      </c>
      <c r="ES26" s="38">
        <f>AVERAGE(ER$6:ER26)</f>
        <v>3.7272727272727271</v>
      </c>
      <c r="ET26" s="32"/>
    </row>
    <row r="27" spans="4:150" x14ac:dyDescent="0.25">
      <c r="D27">
        <v>11</v>
      </c>
      <c r="E27" s="7">
        <f t="shared" si="23"/>
        <v>8.2421766853735794E-3</v>
      </c>
      <c r="F27" s="4">
        <f t="shared" si="18"/>
        <v>0.99454690808699064</v>
      </c>
      <c r="G27" s="4">
        <f t="shared" si="19"/>
        <v>0.98630473140161712</v>
      </c>
      <c r="H27" s="4">
        <f t="shared" si="20"/>
        <v>0.99454690808699064</v>
      </c>
      <c r="L27" s="32"/>
      <c r="M27" s="9">
        <v>12</v>
      </c>
      <c r="N27" s="7">
        <v>0.86578861300949939</v>
      </c>
      <c r="O27" s="9">
        <f t="shared" si="21"/>
        <v>7</v>
      </c>
      <c r="P27" s="38">
        <f>AVERAGE(O$6:O27)</f>
        <v>4.583333333333333</v>
      </c>
      <c r="Q27" s="32"/>
      <c r="R27" s="9"/>
      <c r="S27" s="32"/>
      <c r="T27" s="9">
        <v>12</v>
      </c>
      <c r="U27" s="7">
        <v>0.18719092881656252</v>
      </c>
      <c r="V27" s="9">
        <f t="shared" si="0"/>
        <v>3</v>
      </c>
      <c r="W27" s="38">
        <f>AVERAGE(V$6:V27)</f>
        <v>3.5833333333333335</v>
      </c>
      <c r="X27" s="32"/>
      <c r="Y27" s="9"/>
      <c r="Z27" s="32"/>
      <c r="AA27" s="9">
        <v>12</v>
      </c>
      <c r="AB27" s="7">
        <v>0.26346757300780155</v>
      </c>
      <c r="AC27" s="9">
        <f t="shared" si="1"/>
        <v>3</v>
      </c>
      <c r="AD27" s="38">
        <f>AVERAGE(AC$6:AC27)</f>
        <v>4.5</v>
      </c>
      <c r="AE27" s="32"/>
      <c r="AF27" s="9"/>
      <c r="AG27" s="32"/>
      <c r="AH27" s="9">
        <v>12</v>
      </c>
      <c r="AI27" s="7">
        <v>0.28887517328257672</v>
      </c>
      <c r="AJ27" s="9">
        <f t="shared" si="2"/>
        <v>4</v>
      </c>
      <c r="AK27" s="38">
        <f>AVERAGE(AJ$6:AJ27)</f>
        <v>4.416666666666667</v>
      </c>
      <c r="AL27" s="32"/>
      <c r="AM27" s="9"/>
      <c r="AN27" s="32"/>
      <c r="AO27" s="9">
        <v>12</v>
      </c>
      <c r="AP27" s="7">
        <v>0.50620759258163162</v>
      </c>
      <c r="AQ27" s="9">
        <f t="shared" si="3"/>
        <v>5</v>
      </c>
      <c r="AR27" s="38">
        <f>AVERAGE(AQ$6:AQ27)</f>
        <v>4.833333333333333</v>
      </c>
      <c r="AS27" s="32"/>
      <c r="AT27" s="9"/>
      <c r="AU27" s="32"/>
      <c r="AV27" s="9">
        <v>12</v>
      </c>
      <c r="AW27" s="7">
        <v>0.86803965663420968</v>
      </c>
      <c r="AX27" s="9">
        <f t="shared" si="4"/>
        <v>8</v>
      </c>
      <c r="AY27" s="38">
        <f>AVERAGE(AX$6:AX27)</f>
        <v>5</v>
      </c>
      <c r="AZ27" s="32"/>
      <c r="BA27" s="9"/>
      <c r="BB27" s="32"/>
      <c r="BC27" s="9">
        <v>12</v>
      </c>
      <c r="BD27" s="7">
        <v>0.95299327914835885</v>
      </c>
      <c r="BE27" s="9">
        <f t="shared" si="5"/>
        <v>9</v>
      </c>
      <c r="BF27" s="38">
        <f>AVERAGE(BE$6:BE27)</f>
        <v>4.666666666666667</v>
      </c>
      <c r="BG27" s="32"/>
      <c r="BH27" s="9"/>
      <c r="BI27" s="32"/>
      <c r="BJ27" s="9">
        <v>12</v>
      </c>
      <c r="BK27" s="7">
        <v>0.82291936935507692</v>
      </c>
      <c r="BL27" s="9">
        <f t="shared" si="6"/>
        <v>7</v>
      </c>
      <c r="BM27" s="38">
        <f>AVERAGE(BL$6:BL27)</f>
        <v>5.25</v>
      </c>
      <c r="BN27" s="32"/>
      <c r="BO27" s="9"/>
      <c r="BP27" s="32"/>
      <c r="BQ27" s="9">
        <v>12</v>
      </c>
      <c r="BR27" s="7">
        <v>0.41019133970257826</v>
      </c>
      <c r="BS27" s="9">
        <f t="shared" si="7"/>
        <v>4</v>
      </c>
      <c r="BT27" s="38">
        <f>AVERAGE(BS$6:BS27)</f>
        <v>4.666666666666667</v>
      </c>
      <c r="BU27" s="32"/>
      <c r="BV27" s="9"/>
      <c r="BW27" s="32"/>
      <c r="BX27" s="9">
        <v>12</v>
      </c>
      <c r="BY27" s="7">
        <v>0.32708079958683811</v>
      </c>
      <c r="BZ27" s="9">
        <f t="shared" si="8"/>
        <v>4</v>
      </c>
      <c r="CA27" s="38">
        <f>AVERAGE(BZ$6:BZ27)</f>
        <v>3.75</v>
      </c>
      <c r="CB27" s="32"/>
      <c r="CC27" s="9"/>
      <c r="CD27" s="32"/>
      <c r="CE27" s="9">
        <v>12</v>
      </c>
      <c r="CF27" s="7">
        <v>0.62649246308137663</v>
      </c>
      <c r="CG27" s="9">
        <f t="shared" si="22"/>
        <v>6</v>
      </c>
      <c r="CH27" s="38">
        <f>AVERAGE(CG$6:CG27)</f>
        <v>4</v>
      </c>
      <c r="CI27" s="32"/>
      <c r="CJ27" s="9"/>
      <c r="CK27" s="32"/>
      <c r="CL27" s="9">
        <v>12</v>
      </c>
      <c r="CM27" s="7">
        <v>5.0175436364952475E-2</v>
      </c>
      <c r="CN27" s="9">
        <f t="shared" si="9"/>
        <v>2</v>
      </c>
      <c r="CO27" s="38">
        <f>AVERAGE(CN$6:CN27)</f>
        <v>4.083333333333333</v>
      </c>
      <c r="CP27" s="32"/>
      <c r="CQ27" s="9"/>
      <c r="CR27" s="32"/>
      <c r="CS27" s="9">
        <v>12</v>
      </c>
      <c r="CT27" s="7">
        <v>0.28600079496391118</v>
      </c>
      <c r="CU27" s="9">
        <f t="shared" si="10"/>
        <v>4</v>
      </c>
      <c r="CV27" s="38">
        <f>AVERAGE(CU$6:CU27)</f>
        <v>4.5</v>
      </c>
      <c r="CW27" s="32"/>
      <c r="CX27" s="9"/>
      <c r="CY27" s="32"/>
      <c r="CZ27" s="9">
        <v>12</v>
      </c>
      <c r="DA27" s="7">
        <v>0.34725529118441045</v>
      </c>
      <c r="DB27" s="9">
        <f t="shared" si="11"/>
        <v>4</v>
      </c>
      <c r="DC27" s="38">
        <f>AVERAGE(DB$6:DB27)</f>
        <v>4.083333333333333</v>
      </c>
      <c r="DD27" s="32"/>
      <c r="DE27" s="9"/>
      <c r="DF27" s="32"/>
      <c r="DG27" s="9">
        <v>12</v>
      </c>
      <c r="DH27" s="7">
        <v>0.91313302222988568</v>
      </c>
      <c r="DI27" s="9">
        <f t="shared" si="12"/>
        <v>8</v>
      </c>
      <c r="DJ27" s="38">
        <f>AVERAGE(DI$6:DI27)</f>
        <v>3.9166666666666665</v>
      </c>
      <c r="DK27" s="32"/>
      <c r="DL27" s="9"/>
      <c r="DM27" s="32"/>
      <c r="DN27" s="9">
        <v>12</v>
      </c>
      <c r="DO27" s="7">
        <v>0.48074614893994294</v>
      </c>
      <c r="DP27" s="9">
        <f t="shared" si="13"/>
        <v>5</v>
      </c>
      <c r="DQ27" s="38">
        <f>AVERAGE(DP$6:DP27)</f>
        <v>4.083333333333333</v>
      </c>
      <c r="DR27" s="32"/>
      <c r="DS27" s="9"/>
      <c r="DT27" s="32"/>
      <c r="DU27" s="9">
        <v>12</v>
      </c>
      <c r="DV27" s="7">
        <v>0.96223974879831076</v>
      </c>
      <c r="DW27" s="9">
        <f t="shared" si="14"/>
        <v>9</v>
      </c>
      <c r="DX27" s="38">
        <f>AVERAGE(DW$6:DW27)</f>
        <v>5.083333333333333</v>
      </c>
      <c r="DY27" s="32"/>
      <c r="DZ27" s="9"/>
      <c r="EA27" s="32"/>
      <c r="EB27" s="9">
        <v>12</v>
      </c>
      <c r="EC27" s="7">
        <v>0.64604361998499371</v>
      </c>
      <c r="ED27" s="9">
        <f t="shared" si="15"/>
        <v>6</v>
      </c>
      <c r="EE27" s="38">
        <f>AVERAGE(ED$6:ED27)</f>
        <v>4.666666666666667</v>
      </c>
      <c r="EF27" s="32"/>
      <c r="EG27" s="9"/>
      <c r="EH27" s="32"/>
      <c r="EI27" s="9">
        <v>12</v>
      </c>
      <c r="EJ27" s="7">
        <v>7.3197384597733617E-2</v>
      </c>
      <c r="EK27" s="9">
        <f t="shared" si="16"/>
        <v>2</v>
      </c>
      <c r="EL27" s="38">
        <f>AVERAGE(EK$6:EK27)</f>
        <v>3.9166666666666665</v>
      </c>
      <c r="EM27" s="32"/>
      <c r="EN27" s="9"/>
      <c r="EO27" s="32"/>
      <c r="EP27" s="9">
        <v>12</v>
      </c>
      <c r="EQ27" s="7">
        <v>0.39630817438592203</v>
      </c>
      <c r="ER27" s="9">
        <f t="shared" si="17"/>
        <v>4</v>
      </c>
      <c r="ES27" s="38">
        <f>AVERAGE(ER$6:ER27)</f>
        <v>3.75</v>
      </c>
      <c r="ET27" s="32"/>
    </row>
    <row r="28" spans="4:150" x14ac:dyDescent="0.25">
      <c r="D28">
        <v>12</v>
      </c>
      <c r="E28" s="7">
        <f t="shared" si="23"/>
        <v>3.4342402855723248E-3</v>
      </c>
      <c r="F28" s="4">
        <f t="shared" si="18"/>
        <v>0.99798114837256302</v>
      </c>
      <c r="G28" s="4">
        <f t="shared" si="19"/>
        <v>0.99454690808699064</v>
      </c>
      <c r="H28" s="4">
        <f t="shared" si="20"/>
        <v>0.99798114837256302</v>
      </c>
      <c r="L28" s="32"/>
      <c r="M28" s="9">
        <v>13</v>
      </c>
      <c r="N28" s="7">
        <v>0.8811356999212876</v>
      </c>
      <c r="O28" s="9">
        <f t="shared" si="21"/>
        <v>8</v>
      </c>
      <c r="P28" s="38">
        <f>AVERAGE(O$6:O28)</f>
        <v>4.8461538461538458</v>
      </c>
      <c r="Q28" s="32"/>
      <c r="R28" s="9"/>
      <c r="S28" s="32"/>
      <c r="T28" s="9">
        <v>13</v>
      </c>
      <c r="U28" s="7">
        <v>0.40332834055880085</v>
      </c>
      <c r="V28" s="9">
        <f t="shared" si="0"/>
        <v>4</v>
      </c>
      <c r="W28" s="38">
        <f>AVERAGE(V$6:V28)</f>
        <v>3.6153846153846154</v>
      </c>
      <c r="X28" s="32"/>
      <c r="Y28" s="9"/>
      <c r="Z28" s="32"/>
      <c r="AA28" s="9">
        <v>13</v>
      </c>
      <c r="AB28" s="7">
        <v>0.68580009904690087</v>
      </c>
      <c r="AC28" s="9">
        <f t="shared" si="1"/>
        <v>6</v>
      </c>
      <c r="AD28" s="38">
        <f>AVERAGE(AC$6:AC28)</f>
        <v>4.615384615384615</v>
      </c>
      <c r="AE28" s="32"/>
      <c r="AF28" s="9"/>
      <c r="AG28" s="32"/>
      <c r="AH28" s="9">
        <v>13</v>
      </c>
      <c r="AI28" s="7">
        <v>0.77071424055611715</v>
      </c>
      <c r="AJ28" s="9">
        <f t="shared" si="2"/>
        <v>7</v>
      </c>
      <c r="AK28" s="38">
        <f>AVERAGE(AJ$6:AJ28)</f>
        <v>4.615384615384615</v>
      </c>
      <c r="AL28" s="32"/>
      <c r="AM28" s="9"/>
      <c r="AN28" s="32"/>
      <c r="AO28" s="9">
        <v>13</v>
      </c>
      <c r="AP28" s="7">
        <v>0.69691017956938595</v>
      </c>
      <c r="AQ28" s="9">
        <f t="shared" si="3"/>
        <v>6</v>
      </c>
      <c r="AR28" s="38">
        <f>AVERAGE(AQ$6:AQ28)</f>
        <v>4.9230769230769234</v>
      </c>
      <c r="AS28" s="32"/>
      <c r="AT28" s="9"/>
      <c r="AU28" s="32"/>
      <c r="AV28" s="9">
        <v>13</v>
      </c>
      <c r="AW28" s="7">
        <v>4.0423166647087783E-2</v>
      </c>
      <c r="AX28" s="9">
        <f t="shared" si="4"/>
        <v>1</v>
      </c>
      <c r="AY28" s="38">
        <f>AVERAGE(AX$6:AX28)</f>
        <v>4.6923076923076925</v>
      </c>
      <c r="AZ28" s="32"/>
      <c r="BA28" s="9"/>
      <c r="BB28" s="32"/>
      <c r="BC28" s="9">
        <v>13</v>
      </c>
      <c r="BD28" s="7">
        <v>0.79153876143391244</v>
      </c>
      <c r="BE28" s="9">
        <f t="shared" si="5"/>
        <v>7</v>
      </c>
      <c r="BF28" s="38">
        <f>AVERAGE(BE$6:BE28)</f>
        <v>4.8461538461538458</v>
      </c>
      <c r="BG28" s="32"/>
      <c r="BH28" s="9"/>
      <c r="BI28" s="32"/>
      <c r="BJ28" s="9">
        <v>13</v>
      </c>
      <c r="BK28" s="7">
        <v>0.80347521789371967</v>
      </c>
      <c r="BL28" s="9">
        <f t="shared" si="6"/>
        <v>7</v>
      </c>
      <c r="BM28" s="38">
        <f>AVERAGE(BL$6:BL28)</f>
        <v>5.384615384615385</v>
      </c>
      <c r="BN28" s="32"/>
      <c r="BO28" s="9"/>
      <c r="BP28" s="32"/>
      <c r="BQ28" s="9">
        <v>13</v>
      </c>
      <c r="BR28" s="7">
        <v>0.2485399468569085</v>
      </c>
      <c r="BS28" s="9">
        <f t="shared" si="7"/>
        <v>3</v>
      </c>
      <c r="BT28" s="38">
        <f>AVERAGE(BS$6:BS28)</f>
        <v>4.5384615384615383</v>
      </c>
      <c r="BU28" s="32"/>
      <c r="BV28" s="9"/>
      <c r="BW28" s="32"/>
      <c r="BX28" s="9">
        <v>13</v>
      </c>
      <c r="BY28" s="7">
        <v>0.44661178725073114</v>
      </c>
      <c r="BZ28" s="9">
        <f t="shared" si="8"/>
        <v>5</v>
      </c>
      <c r="CA28" s="38">
        <f>AVERAGE(BZ$6:BZ28)</f>
        <v>3.8461538461538463</v>
      </c>
      <c r="CB28" s="32"/>
      <c r="CC28" s="9"/>
      <c r="CD28" s="32"/>
      <c r="CE28" s="9">
        <v>13</v>
      </c>
      <c r="CF28" s="7">
        <v>0.64361848693806678</v>
      </c>
      <c r="CG28" s="9">
        <f t="shared" si="22"/>
        <v>6</v>
      </c>
      <c r="CH28" s="38">
        <f>AVERAGE(CG$6:CG28)</f>
        <v>4.1538461538461542</v>
      </c>
      <c r="CI28" s="32"/>
      <c r="CJ28" s="9"/>
      <c r="CK28" s="32"/>
      <c r="CL28" s="9">
        <v>13</v>
      </c>
      <c r="CM28" s="7">
        <v>0.84034972797962837</v>
      </c>
      <c r="CN28" s="9">
        <f t="shared" si="9"/>
        <v>7</v>
      </c>
      <c r="CO28" s="38">
        <f>AVERAGE(CN$6:CN28)</f>
        <v>4.3076923076923075</v>
      </c>
      <c r="CP28" s="32"/>
      <c r="CQ28" s="9"/>
      <c r="CR28" s="32"/>
      <c r="CS28" s="9">
        <v>13</v>
      </c>
      <c r="CT28" s="7">
        <v>0.29040940644335933</v>
      </c>
      <c r="CU28" s="9">
        <f t="shared" si="10"/>
        <v>4</v>
      </c>
      <c r="CV28" s="38">
        <f>AVERAGE(CU$6:CU28)</f>
        <v>4.4615384615384617</v>
      </c>
      <c r="CW28" s="32"/>
      <c r="CX28" s="9"/>
      <c r="CY28" s="32"/>
      <c r="CZ28" s="9">
        <v>13</v>
      </c>
      <c r="DA28" s="7">
        <v>0.83647496000048704</v>
      </c>
      <c r="DB28" s="9">
        <f t="shared" si="11"/>
        <v>7</v>
      </c>
      <c r="DC28" s="38">
        <f>AVERAGE(DB$6:DB28)</f>
        <v>4.3076923076923075</v>
      </c>
      <c r="DD28" s="32"/>
      <c r="DE28" s="9"/>
      <c r="DF28" s="32"/>
      <c r="DG28" s="9">
        <v>13</v>
      </c>
      <c r="DH28" s="7">
        <v>0.2635064484202303</v>
      </c>
      <c r="DI28" s="9">
        <f t="shared" si="12"/>
        <v>3</v>
      </c>
      <c r="DJ28" s="38">
        <f>AVERAGE(DI$6:DI28)</f>
        <v>3.8461538461538463</v>
      </c>
      <c r="DK28" s="32"/>
      <c r="DL28" s="9"/>
      <c r="DM28" s="32"/>
      <c r="DN28" s="9">
        <v>13</v>
      </c>
      <c r="DO28" s="7">
        <v>0.58426670409971848</v>
      </c>
      <c r="DP28" s="9">
        <f t="shared" si="13"/>
        <v>5</v>
      </c>
      <c r="DQ28" s="38">
        <f>AVERAGE(DP$6:DP28)</f>
        <v>4.1538461538461542</v>
      </c>
      <c r="DR28" s="32"/>
      <c r="DS28" s="9"/>
      <c r="DT28" s="32"/>
      <c r="DU28" s="9">
        <v>13</v>
      </c>
      <c r="DV28" s="7">
        <v>0.55347063115914352</v>
      </c>
      <c r="DW28" s="9">
        <f t="shared" si="14"/>
        <v>5</v>
      </c>
      <c r="DX28" s="38">
        <f>AVERAGE(DW$6:DW28)</f>
        <v>5.0769230769230766</v>
      </c>
      <c r="DY28" s="32"/>
      <c r="DZ28" s="9"/>
      <c r="EA28" s="32"/>
      <c r="EB28" s="9">
        <v>13</v>
      </c>
      <c r="EC28" s="7">
        <v>0.71246429230086505</v>
      </c>
      <c r="ED28" s="9">
        <f t="shared" si="15"/>
        <v>6</v>
      </c>
      <c r="EE28" s="38">
        <f>AVERAGE(ED$6:ED28)</f>
        <v>4.7692307692307692</v>
      </c>
      <c r="EF28" s="32"/>
      <c r="EG28" s="9"/>
      <c r="EH28" s="32"/>
      <c r="EI28" s="9">
        <v>13</v>
      </c>
      <c r="EJ28" s="7">
        <v>0.6966530678619165</v>
      </c>
      <c r="EK28" s="9">
        <f t="shared" si="16"/>
        <v>6</v>
      </c>
      <c r="EL28" s="38">
        <f>AVERAGE(EK$6:EK28)</f>
        <v>4.0769230769230766</v>
      </c>
      <c r="EM28" s="32"/>
      <c r="EN28" s="9"/>
      <c r="EO28" s="32"/>
      <c r="EP28" s="9">
        <v>13</v>
      </c>
      <c r="EQ28" s="7">
        <v>9.8709808778949082E-2</v>
      </c>
      <c r="ER28" s="9">
        <f t="shared" si="17"/>
        <v>2</v>
      </c>
      <c r="ES28" s="38">
        <f>AVERAGE(ER$6:ER28)</f>
        <v>3.6153846153846154</v>
      </c>
      <c r="ET28" s="32"/>
    </row>
    <row r="29" spans="4:150" x14ac:dyDescent="0.25">
      <c r="D29">
        <v>13</v>
      </c>
      <c r="E29" s="7">
        <f t="shared" si="23"/>
        <v>1.3208616482970478E-3</v>
      </c>
      <c r="F29" s="4">
        <f t="shared" si="18"/>
        <v>0.99930201002086005</v>
      </c>
      <c r="G29" s="4">
        <f t="shared" si="19"/>
        <v>0.99798114837256302</v>
      </c>
      <c r="H29" s="4">
        <f t="shared" si="20"/>
        <v>0.99930201002086005</v>
      </c>
      <c r="L29" s="32"/>
      <c r="M29" s="9">
        <v>14</v>
      </c>
      <c r="N29" s="7">
        <v>0.78488545949221589</v>
      </c>
      <c r="O29" s="9">
        <f t="shared" si="21"/>
        <v>7</v>
      </c>
      <c r="P29" s="38">
        <f>AVERAGE(O$6:O29)</f>
        <v>5</v>
      </c>
      <c r="Q29" s="32"/>
      <c r="R29" s="9"/>
      <c r="S29" s="32"/>
      <c r="T29" s="9">
        <v>14</v>
      </c>
      <c r="U29" s="7">
        <v>0.71409538781153969</v>
      </c>
      <c r="V29" s="9">
        <f t="shared" si="0"/>
        <v>6</v>
      </c>
      <c r="W29" s="38">
        <f>AVERAGE(V$6:V29)</f>
        <v>3.7857142857142856</v>
      </c>
      <c r="X29" s="32"/>
      <c r="Y29" s="9"/>
      <c r="Z29" s="32"/>
      <c r="AA29" s="9">
        <v>14</v>
      </c>
      <c r="AB29" s="7">
        <v>0.18705100918305106</v>
      </c>
      <c r="AC29" s="9">
        <f t="shared" si="1"/>
        <v>3</v>
      </c>
      <c r="AD29" s="38">
        <f>AVERAGE(AC$6:AC29)</f>
        <v>4.5</v>
      </c>
      <c r="AE29" s="32"/>
      <c r="AF29" s="9"/>
      <c r="AG29" s="32"/>
      <c r="AH29" s="9">
        <v>14</v>
      </c>
      <c r="AI29" s="7">
        <v>0.91783388642943464</v>
      </c>
      <c r="AJ29" s="9">
        <f t="shared" si="2"/>
        <v>8</v>
      </c>
      <c r="AK29" s="38">
        <f>AVERAGE(AJ$6:AJ29)</f>
        <v>4.8571428571428568</v>
      </c>
      <c r="AL29" s="32"/>
      <c r="AM29" s="9"/>
      <c r="AN29" s="32"/>
      <c r="AO29" s="9">
        <v>14</v>
      </c>
      <c r="AP29" s="7">
        <v>0.90874247826286592</v>
      </c>
      <c r="AQ29" s="9">
        <f t="shared" si="3"/>
        <v>8</v>
      </c>
      <c r="AR29" s="38">
        <f>AVERAGE(AQ$6:AQ29)</f>
        <v>5.1428571428571432</v>
      </c>
      <c r="AS29" s="32"/>
      <c r="AT29" s="9"/>
      <c r="AU29" s="32"/>
      <c r="AV29" s="9">
        <v>14</v>
      </c>
      <c r="AW29" s="7">
        <v>0.81793082327931188</v>
      </c>
      <c r="AX29" s="9">
        <f t="shared" si="4"/>
        <v>7</v>
      </c>
      <c r="AY29" s="38">
        <f>AVERAGE(AX$6:AX29)</f>
        <v>4.8571428571428568</v>
      </c>
      <c r="AZ29" s="32"/>
      <c r="BA29" s="9"/>
      <c r="BB29" s="32"/>
      <c r="BC29" s="9">
        <v>14</v>
      </c>
      <c r="BD29" s="7">
        <v>0.64246213849401101</v>
      </c>
      <c r="BE29" s="9">
        <f t="shared" si="5"/>
        <v>6</v>
      </c>
      <c r="BF29" s="38">
        <f>AVERAGE(BE$6:BE29)</f>
        <v>4.9285714285714288</v>
      </c>
      <c r="BG29" s="32"/>
      <c r="BH29" s="9"/>
      <c r="BI29" s="32"/>
      <c r="BJ29" s="9">
        <v>14</v>
      </c>
      <c r="BK29" s="7">
        <v>0.78973721529473551</v>
      </c>
      <c r="BL29" s="9">
        <f t="shared" si="6"/>
        <v>7</v>
      </c>
      <c r="BM29" s="38">
        <f>AVERAGE(BL$6:BL29)</f>
        <v>5.5</v>
      </c>
      <c r="BN29" s="32"/>
      <c r="BO29" s="9"/>
      <c r="BP29" s="32"/>
      <c r="BQ29" s="9">
        <v>14</v>
      </c>
      <c r="BR29" s="7">
        <v>0.99807263133698143</v>
      </c>
      <c r="BS29" s="9">
        <f t="shared" si="7"/>
        <v>13</v>
      </c>
      <c r="BT29" s="38">
        <f>AVERAGE(BS$6:BS29)</f>
        <v>5.1428571428571432</v>
      </c>
      <c r="BU29" s="32"/>
      <c r="BV29" s="9"/>
      <c r="BW29" s="32"/>
      <c r="BX29" s="9">
        <v>14</v>
      </c>
      <c r="BY29" s="7">
        <v>5.0704341556411237E-3</v>
      </c>
      <c r="BZ29" s="9">
        <f t="shared" si="8"/>
        <v>0</v>
      </c>
      <c r="CA29" s="38">
        <f>AVERAGE(BZ$6:BZ29)</f>
        <v>3.5714285714285716</v>
      </c>
      <c r="CB29" s="32"/>
      <c r="CC29" s="9"/>
      <c r="CD29" s="32"/>
      <c r="CE29" s="9">
        <v>14</v>
      </c>
      <c r="CF29" s="7">
        <v>0.46352077313349582</v>
      </c>
      <c r="CG29" s="9">
        <f t="shared" si="22"/>
        <v>5</v>
      </c>
      <c r="CH29" s="38">
        <f>AVERAGE(CG$6:CG29)</f>
        <v>4.2142857142857144</v>
      </c>
      <c r="CI29" s="32"/>
      <c r="CJ29" s="9"/>
      <c r="CK29" s="32"/>
      <c r="CL29" s="9">
        <v>14</v>
      </c>
      <c r="CM29" s="7">
        <v>0.78010990953771397</v>
      </c>
      <c r="CN29" s="9">
        <f t="shared" si="9"/>
        <v>7</v>
      </c>
      <c r="CO29" s="38">
        <f>AVERAGE(CN$6:CN29)</f>
        <v>4.5</v>
      </c>
      <c r="CP29" s="32"/>
      <c r="CQ29" s="9"/>
      <c r="CR29" s="32"/>
      <c r="CS29" s="9">
        <v>14</v>
      </c>
      <c r="CT29" s="7">
        <v>0.56084431835915893</v>
      </c>
      <c r="CU29" s="9">
        <f t="shared" si="10"/>
        <v>5</v>
      </c>
      <c r="CV29" s="38">
        <f>AVERAGE(CU$6:CU29)</f>
        <v>4.5</v>
      </c>
      <c r="CW29" s="32"/>
      <c r="CX29" s="9"/>
      <c r="CY29" s="32"/>
      <c r="CZ29" s="9">
        <v>14</v>
      </c>
      <c r="DA29" s="7">
        <v>0.78460440027993172</v>
      </c>
      <c r="DB29" s="9">
        <f t="shared" si="11"/>
        <v>7</v>
      </c>
      <c r="DC29" s="38">
        <f>AVERAGE(DB$6:DB29)</f>
        <v>4.5</v>
      </c>
      <c r="DD29" s="32"/>
      <c r="DE29" s="9"/>
      <c r="DF29" s="32"/>
      <c r="DG29" s="9">
        <v>14</v>
      </c>
      <c r="DH29" s="7">
        <v>0.70582093644770794</v>
      </c>
      <c r="DI29" s="9">
        <f t="shared" si="12"/>
        <v>6</v>
      </c>
      <c r="DJ29" s="38">
        <f>AVERAGE(DI$6:DI29)</f>
        <v>4</v>
      </c>
      <c r="DK29" s="32"/>
      <c r="DL29" s="9"/>
      <c r="DM29" s="32"/>
      <c r="DN29" s="9">
        <v>14</v>
      </c>
      <c r="DO29" s="7">
        <v>0.8973526113841217</v>
      </c>
      <c r="DP29" s="9">
        <f t="shared" si="13"/>
        <v>8</v>
      </c>
      <c r="DQ29" s="38">
        <f>AVERAGE(DP$6:DP29)</f>
        <v>4.4285714285714288</v>
      </c>
      <c r="DR29" s="32"/>
      <c r="DS29" s="9"/>
      <c r="DT29" s="32"/>
      <c r="DU29" s="9">
        <v>14</v>
      </c>
      <c r="DV29" s="7">
        <v>3.7375046988017857E-2</v>
      </c>
      <c r="DW29" s="9">
        <f t="shared" si="14"/>
        <v>1</v>
      </c>
      <c r="DX29" s="38">
        <f>AVERAGE(DW$6:DW29)</f>
        <v>4.7857142857142856</v>
      </c>
      <c r="DY29" s="32"/>
      <c r="DZ29" s="9"/>
      <c r="EA29" s="32"/>
      <c r="EB29" s="9">
        <v>14</v>
      </c>
      <c r="EC29" s="7">
        <v>0.91911053497460671</v>
      </c>
      <c r="ED29" s="9">
        <f t="shared" si="15"/>
        <v>8</v>
      </c>
      <c r="EE29" s="38">
        <f>AVERAGE(ED$6:ED29)</f>
        <v>5</v>
      </c>
      <c r="EF29" s="32"/>
      <c r="EG29" s="9"/>
      <c r="EH29" s="32"/>
      <c r="EI29" s="9">
        <v>14</v>
      </c>
      <c r="EJ29" s="7">
        <v>0.77632994891609997</v>
      </c>
      <c r="EK29" s="9">
        <f t="shared" si="16"/>
        <v>7</v>
      </c>
      <c r="EL29" s="38">
        <f>AVERAGE(EK$6:EK29)</f>
        <v>4.2857142857142856</v>
      </c>
      <c r="EM29" s="32"/>
      <c r="EN29" s="9"/>
      <c r="EO29" s="32"/>
      <c r="EP29" s="9">
        <v>14</v>
      </c>
      <c r="EQ29" s="7">
        <v>0.83555152118788101</v>
      </c>
      <c r="ER29" s="9">
        <f t="shared" si="17"/>
        <v>7</v>
      </c>
      <c r="ES29" s="38">
        <f>AVERAGE(ER$6:ER29)</f>
        <v>3.8571428571428572</v>
      </c>
      <c r="ET29" s="32"/>
    </row>
    <row r="30" spans="4:150" x14ac:dyDescent="0.25">
      <c r="D30">
        <v>14</v>
      </c>
      <c r="E30" s="7">
        <f t="shared" si="23"/>
        <v>4.7173630296323143E-4</v>
      </c>
      <c r="F30" s="4">
        <f t="shared" si="18"/>
        <v>0.99977374632382332</v>
      </c>
      <c r="G30" s="4">
        <f t="shared" si="19"/>
        <v>0.99930201002086005</v>
      </c>
      <c r="H30" s="4">
        <f t="shared" si="20"/>
        <v>0.99977374632382332</v>
      </c>
      <c r="L30" s="32"/>
      <c r="M30" s="9">
        <v>15</v>
      </c>
      <c r="N30" s="7">
        <v>0.21601163852028549</v>
      </c>
      <c r="O30" s="9">
        <f t="shared" si="21"/>
        <v>3</v>
      </c>
      <c r="P30" s="38">
        <f>AVERAGE(O$6:O30)</f>
        <v>4.8666666666666663</v>
      </c>
      <c r="Q30" s="32"/>
      <c r="R30" s="9"/>
      <c r="S30" s="32"/>
      <c r="T30" s="9">
        <v>15</v>
      </c>
      <c r="U30" s="7">
        <v>0.75912472297204658</v>
      </c>
      <c r="V30" s="9">
        <f t="shared" si="0"/>
        <v>6</v>
      </c>
      <c r="W30" s="38">
        <f>AVERAGE(V$6:V30)</f>
        <v>3.9333333333333331</v>
      </c>
      <c r="X30" s="32"/>
      <c r="Y30" s="9"/>
      <c r="Z30" s="32"/>
      <c r="AA30" s="9">
        <v>15</v>
      </c>
      <c r="AB30" s="7">
        <v>0.3312697293004021</v>
      </c>
      <c r="AC30" s="9">
        <f t="shared" si="1"/>
        <v>4</v>
      </c>
      <c r="AD30" s="38">
        <f>AVERAGE(AC$6:AC30)</f>
        <v>4.4666666666666668</v>
      </c>
      <c r="AE30" s="32"/>
      <c r="AF30" s="9"/>
      <c r="AG30" s="32"/>
      <c r="AH30" s="9">
        <v>15</v>
      </c>
      <c r="AI30" s="7">
        <v>0.68445151118794456</v>
      </c>
      <c r="AJ30" s="9">
        <f t="shared" si="2"/>
        <v>6</v>
      </c>
      <c r="AK30" s="38">
        <f>AVERAGE(AJ$6:AJ30)</f>
        <v>4.9333333333333336</v>
      </c>
      <c r="AL30" s="32"/>
      <c r="AM30" s="9"/>
      <c r="AN30" s="32"/>
      <c r="AO30" s="9">
        <v>15</v>
      </c>
      <c r="AP30" s="7">
        <v>2.3763054050505161E-3</v>
      </c>
      <c r="AQ30" s="9">
        <f t="shared" si="3"/>
        <v>0</v>
      </c>
      <c r="AR30" s="38">
        <f>AVERAGE(AQ$6:AQ30)</f>
        <v>4.8</v>
      </c>
      <c r="AS30" s="32"/>
      <c r="AT30" s="9"/>
      <c r="AU30" s="32"/>
      <c r="AV30" s="9">
        <v>15</v>
      </c>
      <c r="AW30" s="7">
        <v>0.23437398887472227</v>
      </c>
      <c r="AX30" s="9">
        <f t="shared" si="4"/>
        <v>3</v>
      </c>
      <c r="AY30" s="38">
        <f>AVERAGE(AX$6:AX30)</f>
        <v>4.7333333333333334</v>
      </c>
      <c r="AZ30" s="32"/>
      <c r="BA30" s="9"/>
      <c r="BB30" s="32"/>
      <c r="BC30" s="9">
        <v>15</v>
      </c>
      <c r="BD30" s="7">
        <v>0.8680013244447764</v>
      </c>
      <c r="BE30" s="9">
        <f t="shared" si="5"/>
        <v>8</v>
      </c>
      <c r="BF30" s="38">
        <f>AVERAGE(BE$6:BE30)</f>
        <v>5.1333333333333337</v>
      </c>
      <c r="BG30" s="32"/>
      <c r="BH30" s="9"/>
      <c r="BI30" s="32"/>
      <c r="BJ30" s="9">
        <v>15</v>
      </c>
      <c r="BK30" s="7">
        <v>0.71466587681788951</v>
      </c>
      <c r="BL30" s="9">
        <f t="shared" si="6"/>
        <v>6</v>
      </c>
      <c r="BM30" s="38">
        <f>AVERAGE(BL$6:BL30)</f>
        <v>5.5333333333333332</v>
      </c>
      <c r="BN30" s="32"/>
      <c r="BO30" s="9"/>
      <c r="BP30" s="32"/>
      <c r="BQ30" s="9">
        <v>15</v>
      </c>
      <c r="BR30" s="7">
        <v>7.4051385745406151E-3</v>
      </c>
      <c r="BS30" s="9">
        <f t="shared" si="7"/>
        <v>1</v>
      </c>
      <c r="BT30" s="38">
        <f>AVERAGE(BS$6:BS30)</f>
        <v>4.8666666666666663</v>
      </c>
      <c r="BU30" s="32"/>
      <c r="BV30" s="9"/>
      <c r="BW30" s="32"/>
      <c r="BX30" s="9">
        <v>15</v>
      </c>
      <c r="BY30" s="7">
        <v>0.61127359018428251</v>
      </c>
      <c r="BZ30" s="9">
        <f t="shared" si="8"/>
        <v>5</v>
      </c>
      <c r="CA30" s="38">
        <f>AVERAGE(BZ$6:BZ30)</f>
        <v>3.6666666666666665</v>
      </c>
      <c r="CB30" s="32"/>
      <c r="CC30" s="9"/>
      <c r="CD30" s="32"/>
      <c r="CE30" s="9">
        <v>15</v>
      </c>
      <c r="CF30" s="7">
        <v>0.71319816377945244</v>
      </c>
      <c r="CG30" s="9">
        <f t="shared" si="22"/>
        <v>6</v>
      </c>
      <c r="CH30" s="38">
        <f>AVERAGE(CG$6:CG30)</f>
        <v>4.333333333333333</v>
      </c>
      <c r="CI30" s="32"/>
      <c r="CJ30" s="9"/>
      <c r="CK30" s="32"/>
      <c r="CL30" s="9">
        <v>15</v>
      </c>
      <c r="CM30" s="7">
        <v>0.75660341195180081</v>
      </c>
      <c r="CN30" s="9">
        <f t="shared" si="9"/>
        <v>6</v>
      </c>
      <c r="CO30" s="38">
        <f>AVERAGE(CN$6:CN30)</f>
        <v>4.5999999999999996</v>
      </c>
      <c r="CP30" s="32"/>
      <c r="CQ30" s="9"/>
      <c r="CR30" s="32"/>
      <c r="CS30" s="9">
        <v>15</v>
      </c>
      <c r="CT30" s="7">
        <v>0.83482395499595441</v>
      </c>
      <c r="CU30" s="9">
        <f t="shared" si="10"/>
        <v>7</v>
      </c>
      <c r="CV30" s="38">
        <f>AVERAGE(CU$6:CU30)</f>
        <v>4.666666666666667</v>
      </c>
      <c r="CW30" s="32"/>
      <c r="CX30" s="9"/>
      <c r="CY30" s="32"/>
      <c r="CZ30" s="9">
        <v>15</v>
      </c>
      <c r="DA30" s="7">
        <v>7.1266144193941727E-2</v>
      </c>
      <c r="DB30" s="9">
        <f t="shared" si="11"/>
        <v>2</v>
      </c>
      <c r="DC30" s="38">
        <f>AVERAGE(DB$6:DB30)</f>
        <v>4.333333333333333</v>
      </c>
      <c r="DD30" s="32"/>
      <c r="DE30" s="9"/>
      <c r="DF30" s="32"/>
      <c r="DG30" s="9">
        <v>15</v>
      </c>
      <c r="DH30" s="7">
        <v>0.49778227059869096</v>
      </c>
      <c r="DI30" s="9">
        <f t="shared" si="12"/>
        <v>5</v>
      </c>
      <c r="DJ30" s="38">
        <f>AVERAGE(DI$6:DI30)</f>
        <v>4.0666666666666664</v>
      </c>
      <c r="DK30" s="32"/>
      <c r="DL30" s="9"/>
      <c r="DM30" s="32"/>
      <c r="DN30" s="9">
        <v>15</v>
      </c>
      <c r="DO30" s="7">
        <v>0.13659486285177991</v>
      </c>
      <c r="DP30" s="9">
        <f t="shared" si="13"/>
        <v>3</v>
      </c>
      <c r="DQ30" s="38">
        <f>AVERAGE(DP$6:DP30)</f>
        <v>4.333333333333333</v>
      </c>
      <c r="DR30" s="32"/>
      <c r="DS30" s="9"/>
      <c r="DT30" s="32"/>
      <c r="DU30" s="9">
        <v>15</v>
      </c>
      <c r="DV30" s="7">
        <v>0.24814919885830022</v>
      </c>
      <c r="DW30" s="9">
        <f t="shared" si="14"/>
        <v>3</v>
      </c>
      <c r="DX30" s="38">
        <f>AVERAGE(DW$6:DW30)</f>
        <v>4.666666666666667</v>
      </c>
      <c r="DY30" s="32"/>
      <c r="DZ30" s="9"/>
      <c r="EA30" s="32"/>
      <c r="EB30" s="9">
        <v>15</v>
      </c>
      <c r="EC30" s="7">
        <v>0.34192551195155829</v>
      </c>
      <c r="ED30" s="9">
        <f t="shared" si="15"/>
        <v>4</v>
      </c>
      <c r="EE30" s="38">
        <f>AVERAGE(ED$6:ED30)</f>
        <v>4.9333333333333336</v>
      </c>
      <c r="EF30" s="32"/>
      <c r="EG30" s="9"/>
      <c r="EH30" s="32"/>
      <c r="EI30" s="9">
        <v>15</v>
      </c>
      <c r="EJ30" s="7">
        <v>0.8099236918205861</v>
      </c>
      <c r="EK30" s="9">
        <f t="shared" si="16"/>
        <v>7</v>
      </c>
      <c r="EL30" s="38">
        <f>AVERAGE(EK$6:EK30)</f>
        <v>4.4666666666666668</v>
      </c>
      <c r="EM30" s="32"/>
      <c r="EN30" s="9"/>
      <c r="EO30" s="32"/>
      <c r="EP30" s="9">
        <v>15</v>
      </c>
      <c r="EQ30" s="7">
        <v>0.30903341178782284</v>
      </c>
      <c r="ER30" s="9">
        <f t="shared" si="17"/>
        <v>4</v>
      </c>
      <c r="ES30" s="38">
        <f>AVERAGE(ER$6:ER30)</f>
        <v>3.8666666666666667</v>
      </c>
      <c r="ET30" s="32"/>
    </row>
    <row r="31" spans="4:150" x14ac:dyDescent="0.25">
      <c r="D31">
        <v>15</v>
      </c>
      <c r="E31" s="7">
        <f t="shared" si="23"/>
        <v>1.5724543432107713E-4</v>
      </c>
      <c r="F31" s="4">
        <f t="shared" si="18"/>
        <v>0.99993099175814437</v>
      </c>
      <c r="G31" s="4">
        <f t="shared" si="19"/>
        <v>0.99977374632382332</v>
      </c>
      <c r="H31" s="4">
        <f t="shared" si="20"/>
        <v>0.99993099175814437</v>
      </c>
      <c r="L31" s="32"/>
      <c r="M31" s="9">
        <v>16</v>
      </c>
      <c r="N31" s="7">
        <v>0.24599383797612973</v>
      </c>
      <c r="O31" s="9">
        <f t="shared" si="21"/>
        <v>3</v>
      </c>
      <c r="P31" s="38">
        <f>AVERAGE(O$6:O31)</f>
        <v>4.75</v>
      </c>
      <c r="Q31" s="32"/>
      <c r="R31" s="9"/>
      <c r="S31" s="32"/>
      <c r="T31" s="9">
        <v>16</v>
      </c>
      <c r="U31" s="7">
        <v>0.94923233063309453</v>
      </c>
      <c r="V31" s="9">
        <f t="shared" si="0"/>
        <v>9</v>
      </c>
      <c r="W31" s="38">
        <f>AVERAGE(V$6:V31)</f>
        <v>4.25</v>
      </c>
      <c r="X31" s="32"/>
      <c r="Y31" s="9"/>
      <c r="Z31" s="32"/>
      <c r="AA31" s="9">
        <v>16</v>
      </c>
      <c r="AB31" s="7">
        <v>0.60391058973618783</v>
      </c>
      <c r="AC31" s="9">
        <f t="shared" si="1"/>
        <v>5</v>
      </c>
      <c r="AD31" s="38">
        <f>AVERAGE(AC$6:AC31)</f>
        <v>4.5</v>
      </c>
      <c r="AE31" s="32"/>
      <c r="AF31" s="9"/>
      <c r="AG31" s="32"/>
      <c r="AH31" s="9">
        <v>16</v>
      </c>
      <c r="AI31" s="7">
        <v>0.49252826182055287</v>
      </c>
      <c r="AJ31" s="9">
        <f t="shared" si="2"/>
        <v>5</v>
      </c>
      <c r="AK31" s="38">
        <f>AVERAGE(AJ$6:AJ31)</f>
        <v>4.9375</v>
      </c>
      <c r="AL31" s="32"/>
      <c r="AM31" s="9"/>
      <c r="AN31" s="32"/>
      <c r="AO31" s="9">
        <v>16</v>
      </c>
      <c r="AP31" s="7">
        <v>0.22379728363011964</v>
      </c>
      <c r="AQ31" s="9">
        <f t="shared" si="3"/>
        <v>3</v>
      </c>
      <c r="AR31" s="38">
        <f>AVERAGE(AQ$6:AQ31)</f>
        <v>4.6875</v>
      </c>
      <c r="AS31" s="32"/>
      <c r="AT31" s="9"/>
      <c r="AU31" s="32"/>
      <c r="AV31" s="9">
        <v>16</v>
      </c>
      <c r="AW31" s="7">
        <v>0.70260427051107399</v>
      </c>
      <c r="AX31" s="9">
        <f t="shared" si="4"/>
        <v>6</v>
      </c>
      <c r="AY31" s="38">
        <f>AVERAGE(AX$6:AX31)</f>
        <v>4.8125</v>
      </c>
      <c r="AZ31" s="32"/>
      <c r="BA31" s="9"/>
      <c r="BB31" s="32"/>
      <c r="BC31" s="9">
        <v>16</v>
      </c>
      <c r="BD31" s="7">
        <v>2.0682089088950306E-2</v>
      </c>
      <c r="BE31" s="9">
        <f t="shared" si="5"/>
        <v>1</v>
      </c>
      <c r="BF31" s="38">
        <f>AVERAGE(BE$6:BE31)</f>
        <v>4.875</v>
      </c>
      <c r="BG31" s="32"/>
      <c r="BH31" s="9"/>
      <c r="BI31" s="32"/>
      <c r="BJ31" s="9">
        <v>16</v>
      </c>
      <c r="BK31" s="7">
        <v>5.2926561242202297E-2</v>
      </c>
      <c r="BL31" s="9">
        <f t="shared" si="6"/>
        <v>2</v>
      </c>
      <c r="BM31" s="38">
        <f>AVERAGE(BL$6:BL31)</f>
        <v>5.3125</v>
      </c>
      <c r="BN31" s="32"/>
      <c r="BO31" s="9"/>
      <c r="BP31" s="32"/>
      <c r="BQ31" s="9">
        <v>16</v>
      </c>
      <c r="BR31" s="7">
        <v>0.8136463659175206</v>
      </c>
      <c r="BS31" s="9">
        <f t="shared" si="7"/>
        <v>7</v>
      </c>
      <c r="BT31" s="38">
        <f>AVERAGE(BS$6:BS31)</f>
        <v>5</v>
      </c>
      <c r="BU31" s="32"/>
      <c r="BV31" s="9"/>
      <c r="BW31" s="32"/>
      <c r="BX31" s="9">
        <v>16</v>
      </c>
      <c r="BY31" s="7">
        <v>0.80589894493459724</v>
      </c>
      <c r="BZ31" s="9">
        <f t="shared" si="8"/>
        <v>7</v>
      </c>
      <c r="CA31" s="38">
        <f>AVERAGE(BZ$6:BZ31)</f>
        <v>3.875</v>
      </c>
      <c r="CB31" s="32"/>
      <c r="CC31" s="9"/>
      <c r="CD31" s="32"/>
      <c r="CE31" s="9">
        <v>16</v>
      </c>
      <c r="CF31" s="7">
        <v>0.29705434644711204</v>
      </c>
      <c r="CG31" s="9">
        <f t="shared" si="22"/>
        <v>4</v>
      </c>
      <c r="CH31" s="38">
        <f>AVERAGE(CG$6:CG31)</f>
        <v>4.3125</v>
      </c>
      <c r="CI31" s="32"/>
      <c r="CJ31" s="9"/>
      <c r="CK31" s="32"/>
      <c r="CL31" s="9">
        <v>16</v>
      </c>
      <c r="CM31" s="7">
        <v>0.65075715520652011</v>
      </c>
      <c r="CN31" s="9">
        <f t="shared" si="9"/>
        <v>6</v>
      </c>
      <c r="CO31" s="38">
        <f>AVERAGE(CN$6:CN31)</f>
        <v>4.6875</v>
      </c>
      <c r="CP31" s="32"/>
      <c r="CQ31" s="9"/>
      <c r="CR31" s="32"/>
      <c r="CS31" s="9">
        <v>16</v>
      </c>
      <c r="CT31" s="7">
        <v>0.93433682294562459</v>
      </c>
      <c r="CU31" s="9">
        <f t="shared" si="10"/>
        <v>9</v>
      </c>
      <c r="CV31" s="38">
        <f>AVERAGE(CU$6:CU31)</f>
        <v>4.9375</v>
      </c>
      <c r="CW31" s="32"/>
      <c r="CX31" s="9"/>
      <c r="CY31" s="32"/>
      <c r="CZ31" s="9">
        <v>16</v>
      </c>
      <c r="DA31" s="7">
        <v>0.70206425990909338</v>
      </c>
      <c r="DB31" s="9">
        <f t="shared" si="11"/>
        <v>6</v>
      </c>
      <c r="DC31" s="38">
        <f>AVERAGE(DB$6:DB31)</f>
        <v>4.4375</v>
      </c>
      <c r="DD31" s="32"/>
      <c r="DE31" s="9"/>
      <c r="DF31" s="32"/>
      <c r="DG31" s="9">
        <v>16</v>
      </c>
      <c r="DH31" s="7">
        <v>0.3578693583549466</v>
      </c>
      <c r="DI31" s="9">
        <f t="shared" si="12"/>
        <v>4</v>
      </c>
      <c r="DJ31" s="38">
        <f>AVERAGE(DI$6:DI31)</f>
        <v>4.0625</v>
      </c>
      <c r="DK31" s="32"/>
      <c r="DL31" s="9"/>
      <c r="DM31" s="32"/>
      <c r="DN31" s="9">
        <v>16</v>
      </c>
      <c r="DO31" s="7">
        <v>0.34635436869575642</v>
      </c>
      <c r="DP31" s="9">
        <f t="shared" si="13"/>
        <v>4</v>
      </c>
      <c r="DQ31" s="38">
        <f>AVERAGE(DP$6:DP31)</f>
        <v>4.3125</v>
      </c>
      <c r="DR31" s="32"/>
      <c r="DS31" s="9"/>
      <c r="DT31" s="32"/>
      <c r="DU31" s="9">
        <v>16</v>
      </c>
      <c r="DV31" s="7">
        <v>0.79683741205371916</v>
      </c>
      <c r="DW31" s="9">
        <f t="shared" si="14"/>
        <v>7</v>
      </c>
      <c r="DX31" s="38">
        <f>AVERAGE(DW$6:DW31)</f>
        <v>4.8125</v>
      </c>
      <c r="DY31" s="32"/>
      <c r="DZ31" s="9"/>
      <c r="EA31" s="32"/>
      <c r="EB31" s="9">
        <v>16</v>
      </c>
      <c r="EC31" s="7">
        <v>9.1638655081624165E-2</v>
      </c>
      <c r="ED31" s="9">
        <f t="shared" si="15"/>
        <v>2</v>
      </c>
      <c r="EE31" s="38">
        <f>AVERAGE(ED$6:ED31)</f>
        <v>4.75</v>
      </c>
      <c r="EF31" s="32"/>
      <c r="EG31" s="9"/>
      <c r="EH31" s="32"/>
      <c r="EI31" s="9">
        <v>16</v>
      </c>
      <c r="EJ31" s="7">
        <v>0.11070128763094544</v>
      </c>
      <c r="EK31" s="9">
        <f t="shared" si="16"/>
        <v>2</v>
      </c>
      <c r="EL31" s="38">
        <f>AVERAGE(EK$6:EK31)</f>
        <v>4.3125</v>
      </c>
      <c r="EM31" s="32"/>
      <c r="EN31" s="9"/>
      <c r="EO31" s="32"/>
      <c r="EP31" s="9">
        <v>16</v>
      </c>
      <c r="EQ31" s="7">
        <v>0.15220707075786777</v>
      </c>
      <c r="ER31" s="9">
        <f t="shared" si="17"/>
        <v>3</v>
      </c>
      <c r="ES31" s="38">
        <f>AVERAGE(ER$6:ER31)</f>
        <v>3.8125</v>
      </c>
      <c r="ET31" s="32"/>
    </row>
    <row r="32" spans="4:150" x14ac:dyDescent="0.25">
      <c r="D32">
        <v>16</v>
      </c>
      <c r="E32" s="7">
        <f t="shared" si="23"/>
        <v>4.9139198225336602E-5</v>
      </c>
      <c r="F32" s="4">
        <f t="shared" si="18"/>
        <v>0.99998013095636973</v>
      </c>
      <c r="G32" s="4">
        <f t="shared" si="19"/>
        <v>0.99993099175814437</v>
      </c>
      <c r="H32" s="4">
        <f t="shared" si="20"/>
        <v>0.99998013095636973</v>
      </c>
      <c r="L32" s="32">
        <v>3</v>
      </c>
      <c r="M32" s="9">
        <v>17</v>
      </c>
      <c r="N32" s="7">
        <v>0.6868265577359125</v>
      </c>
      <c r="O32" s="9">
        <f t="shared" si="21"/>
        <v>6</v>
      </c>
      <c r="P32" s="38">
        <f>AVERAGE(O$6:O32)</f>
        <v>4.8235294117647056</v>
      </c>
      <c r="Q32" s="32">
        <f t="shared" ref="Q32" si="44">SUM(O32:O39)</f>
        <v>43</v>
      </c>
      <c r="R32" s="9"/>
      <c r="S32" s="32">
        <v>3</v>
      </c>
      <c r="T32" s="9">
        <v>17</v>
      </c>
      <c r="U32" s="7">
        <v>0.85465027607278898</v>
      </c>
      <c r="V32" s="9">
        <f t="shared" si="0"/>
        <v>7</v>
      </c>
      <c r="W32" s="38">
        <f>AVERAGE(V$6:V32)</f>
        <v>4.4117647058823533</v>
      </c>
      <c r="X32" s="32">
        <f t="shared" ref="X32" si="45">SUM(V32:V39)</f>
        <v>32</v>
      </c>
      <c r="Y32" s="9"/>
      <c r="Z32" s="32">
        <v>3</v>
      </c>
      <c r="AA32" s="9">
        <v>17</v>
      </c>
      <c r="AB32" s="7">
        <v>1.3953714165836573E-2</v>
      </c>
      <c r="AC32" s="9">
        <f t="shared" si="1"/>
        <v>1</v>
      </c>
      <c r="AD32" s="38">
        <f>AVERAGE(AC$6:AC32)</f>
        <v>4.2941176470588234</v>
      </c>
      <c r="AE32" s="32">
        <f t="shared" ref="AE32" si="46">SUM(AC32:AC39)</f>
        <v>37</v>
      </c>
      <c r="AF32" s="9"/>
      <c r="AG32" s="32">
        <v>3</v>
      </c>
      <c r="AH32" s="9">
        <v>17</v>
      </c>
      <c r="AI32" s="7">
        <v>0.65205483761383221</v>
      </c>
      <c r="AJ32" s="9">
        <f t="shared" si="2"/>
        <v>6</v>
      </c>
      <c r="AK32" s="38">
        <f>AVERAGE(AJ$6:AJ32)</f>
        <v>5</v>
      </c>
      <c r="AL32" s="32">
        <f t="shared" ref="AL32" si="47">SUM(AJ32:AJ39)</f>
        <v>43</v>
      </c>
      <c r="AM32" s="9"/>
      <c r="AN32" s="32">
        <v>3</v>
      </c>
      <c r="AO32" s="9">
        <v>17</v>
      </c>
      <c r="AP32" s="7">
        <v>0.25560106954071671</v>
      </c>
      <c r="AQ32" s="9">
        <f t="shared" si="3"/>
        <v>3</v>
      </c>
      <c r="AR32" s="38">
        <f>AVERAGE(AQ$6:AQ32)</f>
        <v>4.5882352941176467</v>
      </c>
      <c r="AS32" s="32">
        <f t="shared" ref="AS32" si="48">SUM(AQ32:AQ39)</f>
        <v>46</v>
      </c>
      <c r="AT32" s="9"/>
      <c r="AU32" s="32">
        <v>3</v>
      </c>
      <c r="AV32" s="9">
        <v>17</v>
      </c>
      <c r="AW32" s="7">
        <v>0.84119931323220953</v>
      </c>
      <c r="AX32" s="9">
        <f t="shared" si="4"/>
        <v>7</v>
      </c>
      <c r="AY32" s="38">
        <f>AVERAGE(AX$6:AX32)</f>
        <v>4.9411764705882355</v>
      </c>
      <c r="AZ32" s="32">
        <f t="shared" ref="AZ32" si="49">SUM(AX32:AX39)</f>
        <v>36</v>
      </c>
      <c r="BA32" s="9"/>
      <c r="BB32" s="32">
        <v>3</v>
      </c>
      <c r="BC32" s="9">
        <v>17</v>
      </c>
      <c r="BD32" s="7">
        <v>0.65127588083851151</v>
      </c>
      <c r="BE32" s="9">
        <f t="shared" si="5"/>
        <v>6</v>
      </c>
      <c r="BF32" s="38">
        <f>AVERAGE(BE$6:BE32)</f>
        <v>4.9411764705882355</v>
      </c>
      <c r="BG32" s="32">
        <f t="shared" ref="BG32" si="50">SUM(BE32:BE39)</f>
        <v>39</v>
      </c>
      <c r="BH32" s="9"/>
      <c r="BI32" s="32">
        <v>3</v>
      </c>
      <c r="BJ32" s="9">
        <v>17</v>
      </c>
      <c r="BK32" s="7">
        <v>0.25717903976328671</v>
      </c>
      <c r="BL32" s="9">
        <f t="shared" si="6"/>
        <v>3</v>
      </c>
      <c r="BM32" s="38">
        <f>AVERAGE(BL$6:BL32)</f>
        <v>5.1764705882352944</v>
      </c>
      <c r="BN32" s="32">
        <f t="shared" ref="BN32" si="51">SUM(BL32:BL39)</f>
        <v>31</v>
      </c>
      <c r="BO32" s="9"/>
      <c r="BP32" s="32">
        <v>3</v>
      </c>
      <c r="BQ32" s="9">
        <v>17</v>
      </c>
      <c r="BR32" s="7">
        <v>2.7878447552211583E-2</v>
      </c>
      <c r="BS32" s="9">
        <f t="shared" si="7"/>
        <v>1</v>
      </c>
      <c r="BT32" s="38">
        <f>AVERAGE(BS$6:BS32)</f>
        <v>4.7647058823529411</v>
      </c>
      <c r="BU32" s="32">
        <f t="shared" ref="BU32" si="52">SUM(BS32:BS39)</f>
        <v>31</v>
      </c>
      <c r="BV32" s="9"/>
      <c r="BW32" s="32">
        <v>3</v>
      </c>
      <c r="BX32" s="9">
        <v>17</v>
      </c>
      <c r="BY32" s="7">
        <v>3.7956641346681863E-2</v>
      </c>
      <c r="BZ32" s="9">
        <f t="shared" si="8"/>
        <v>1</v>
      </c>
      <c r="CA32" s="38">
        <f>AVERAGE(BZ$6:BZ32)</f>
        <v>3.7058823529411766</v>
      </c>
      <c r="CB32" s="32">
        <f t="shared" ref="CB32" si="53">SUM(BZ32:BZ39)</f>
        <v>33</v>
      </c>
      <c r="CC32" s="9"/>
      <c r="CD32" s="32">
        <v>3</v>
      </c>
      <c r="CE32" s="9">
        <v>17</v>
      </c>
      <c r="CF32" s="7">
        <v>0.98298842029180378</v>
      </c>
      <c r="CG32" s="9">
        <f t="shared" si="22"/>
        <v>10</v>
      </c>
      <c r="CH32" s="38">
        <f>AVERAGE(CG$6:CG32)</f>
        <v>4.6470588235294121</v>
      </c>
      <c r="CI32" s="32">
        <f t="shared" ref="CI32" si="54">SUM(CG32:CG39)</f>
        <v>39</v>
      </c>
      <c r="CJ32" s="9"/>
      <c r="CK32" s="32">
        <v>3</v>
      </c>
      <c r="CL32" s="9">
        <v>17</v>
      </c>
      <c r="CM32" s="7">
        <v>0.13993493138696067</v>
      </c>
      <c r="CN32" s="9">
        <f t="shared" si="9"/>
        <v>3</v>
      </c>
      <c r="CO32" s="38">
        <f>AVERAGE(CN$6:CN32)</f>
        <v>4.5882352941176467</v>
      </c>
      <c r="CP32" s="32">
        <f t="shared" ref="CP32" si="55">SUM(CN32:CN39)</f>
        <v>35</v>
      </c>
      <c r="CQ32" s="9"/>
      <c r="CR32" s="32">
        <v>3</v>
      </c>
      <c r="CS32" s="9">
        <v>17</v>
      </c>
      <c r="CT32" s="7">
        <v>0.18346381702576764</v>
      </c>
      <c r="CU32" s="9">
        <f t="shared" si="10"/>
        <v>3</v>
      </c>
      <c r="CV32" s="38">
        <f>AVERAGE(CU$6:CU32)</f>
        <v>4.8235294117647056</v>
      </c>
      <c r="CW32" s="32">
        <f t="shared" ref="CW32" si="56">SUM(CU32:CU39)</f>
        <v>32</v>
      </c>
      <c r="CX32" s="9"/>
      <c r="CY32" s="32">
        <v>3</v>
      </c>
      <c r="CZ32" s="9">
        <v>17</v>
      </c>
      <c r="DA32" s="7">
        <v>0.56309385321219452</v>
      </c>
      <c r="DB32" s="9">
        <f t="shared" si="11"/>
        <v>5</v>
      </c>
      <c r="DC32" s="38">
        <f>AVERAGE(DB$6:DB32)</f>
        <v>4.4705882352941178</v>
      </c>
      <c r="DD32" s="32">
        <f t="shared" ref="DD32" si="57">SUM(DB32:DB39)</f>
        <v>41</v>
      </c>
      <c r="DE32" s="9"/>
      <c r="DF32" s="32">
        <v>3</v>
      </c>
      <c r="DG32" s="9">
        <v>17</v>
      </c>
      <c r="DH32" s="7">
        <v>0.30271955282660201</v>
      </c>
      <c r="DI32" s="9">
        <f t="shared" si="12"/>
        <v>4</v>
      </c>
      <c r="DJ32" s="38">
        <f>AVERAGE(DI$6:DI32)</f>
        <v>4.0588235294117645</v>
      </c>
      <c r="DK32" s="32">
        <f t="shared" ref="DK32" si="58">SUM(DI32:DI39)</f>
        <v>43</v>
      </c>
      <c r="DL32" s="9"/>
      <c r="DM32" s="32">
        <v>3</v>
      </c>
      <c r="DN32" s="9">
        <v>17</v>
      </c>
      <c r="DO32" s="7">
        <v>0.37249987834366038</v>
      </c>
      <c r="DP32" s="9">
        <f t="shared" si="13"/>
        <v>4</v>
      </c>
      <c r="DQ32" s="38">
        <f>AVERAGE(DP$6:DP32)</f>
        <v>4.2941176470588234</v>
      </c>
      <c r="DR32" s="32">
        <f t="shared" ref="DR32" si="59">SUM(DP32:DP39)</f>
        <v>52</v>
      </c>
      <c r="DS32" s="9"/>
      <c r="DT32" s="32">
        <v>3</v>
      </c>
      <c r="DU32" s="9">
        <v>17</v>
      </c>
      <c r="DV32" s="7">
        <v>0.37126720769447275</v>
      </c>
      <c r="DW32" s="9">
        <f t="shared" si="14"/>
        <v>4</v>
      </c>
      <c r="DX32" s="38">
        <f>AVERAGE(DW$6:DW32)</f>
        <v>4.7647058823529411</v>
      </c>
      <c r="DY32" s="32">
        <f t="shared" ref="DY32" si="60">SUM(DW32:DW39)</f>
        <v>33</v>
      </c>
      <c r="DZ32" s="9"/>
      <c r="EA32" s="32">
        <v>3</v>
      </c>
      <c r="EB32" s="9">
        <v>17</v>
      </c>
      <c r="EC32" s="7">
        <v>0.1939073670655489</v>
      </c>
      <c r="ED32" s="9">
        <f t="shared" si="15"/>
        <v>3</v>
      </c>
      <c r="EE32" s="38">
        <f>AVERAGE(ED$6:ED32)</f>
        <v>4.6470588235294121</v>
      </c>
      <c r="EF32" s="32">
        <f t="shared" ref="EF32" si="61">SUM(ED32:ED39)</f>
        <v>36</v>
      </c>
      <c r="EG32" s="9"/>
      <c r="EH32" s="32">
        <v>3</v>
      </c>
      <c r="EI32" s="9">
        <v>17</v>
      </c>
      <c r="EJ32" s="7">
        <v>1.1163129966007546E-2</v>
      </c>
      <c r="EK32" s="9">
        <f t="shared" si="16"/>
        <v>1</v>
      </c>
      <c r="EL32" s="38">
        <f>AVERAGE(EK$6:EK32)</f>
        <v>4.117647058823529</v>
      </c>
      <c r="EM32" s="32">
        <f t="shared" ref="EM32" si="62">SUM(EK32:EK39)</f>
        <v>34</v>
      </c>
      <c r="EN32" s="9"/>
      <c r="EO32" s="32">
        <v>3</v>
      </c>
      <c r="EP32" s="9">
        <v>17</v>
      </c>
      <c r="EQ32" s="7">
        <v>0.38664144033100456</v>
      </c>
      <c r="ER32" s="9">
        <f t="shared" si="17"/>
        <v>4</v>
      </c>
      <c r="ES32" s="38">
        <f>AVERAGE(ER$6:ER32)</f>
        <v>3.8235294117647061</v>
      </c>
      <c r="ET32" s="32">
        <f t="shared" ref="ET32" si="63">SUM(ER32:ER39)</f>
        <v>43</v>
      </c>
    </row>
    <row r="33" spans="4:150" x14ac:dyDescent="0.25">
      <c r="D33">
        <v>17</v>
      </c>
      <c r="E33" s="7">
        <f t="shared" si="23"/>
        <v>1.4452705360393119E-5</v>
      </c>
      <c r="F33" s="4">
        <f t="shared" si="18"/>
        <v>0.99999458366173011</v>
      </c>
      <c r="G33" s="4">
        <f t="shared" si="19"/>
        <v>0.99998013095636973</v>
      </c>
      <c r="H33" s="4">
        <f t="shared" si="20"/>
        <v>0.99999458366173011</v>
      </c>
      <c r="L33" s="32"/>
      <c r="M33" s="9">
        <v>18</v>
      </c>
      <c r="N33" s="7">
        <v>0.71567723402404226</v>
      </c>
      <c r="O33" s="9">
        <f t="shared" si="21"/>
        <v>6</v>
      </c>
      <c r="P33" s="38">
        <f>AVERAGE(O$6:O33)</f>
        <v>4.8888888888888893</v>
      </c>
      <c r="Q33" s="32"/>
      <c r="R33" s="9"/>
      <c r="S33" s="32"/>
      <c r="T33" s="9">
        <v>18</v>
      </c>
      <c r="U33" s="7">
        <v>0.14489217751543038</v>
      </c>
      <c r="V33" s="9">
        <f t="shared" si="0"/>
        <v>3</v>
      </c>
      <c r="W33" s="38">
        <f>AVERAGE(V$6:V33)</f>
        <v>4.333333333333333</v>
      </c>
      <c r="X33" s="32"/>
      <c r="Y33" s="9"/>
      <c r="Z33" s="32"/>
      <c r="AA33" s="9">
        <v>18</v>
      </c>
      <c r="AB33" s="7">
        <v>0.18616279543493874</v>
      </c>
      <c r="AC33" s="9">
        <f t="shared" si="1"/>
        <v>3</v>
      </c>
      <c r="AD33" s="38">
        <f>AVERAGE(AC$6:AC33)</f>
        <v>4.2222222222222223</v>
      </c>
      <c r="AE33" s="32"/>
      <c r="AF33" s="9"/>
      <c r="AG33" s="32"/>
      <c r="AH33" s="9">
        <v>18</v>
      </c>
      <c r="AI33" s="7">
        <v>0.80824137115268968</v>
      </c>
      <c r="AJ33" s="9">
        <f t="shared" si="2"/>
        <v>7</v>
      </c>
      <c r="AK33" s="38">
        <f>AVERAGE(AJ$6:AJ33)</f>
        <v>5.1111111111111107</v>
      </c>
      <c r="AL33" s="32"/>
      <c r="AM33" s="9"/>
      <c r="AN33" s="32"/>
      <c r="AO33" s="9">
        <v>18</v>
      </c>
      <c r="AP33" s="7">
        <v>0.6345508134982083</v>
      </c>
      <c r="AQ33" s="9">
        <f t="shared" si="3"/>
        <v>6</v>
      </c>
      <c r="AR33" s="38">
        <f>AVERAGE(AQ$6:AQ33)</f>
        <v>4.666666666666667</v>
      </c>
      <c r="AS33" s="32"/>
      <c r="AT33" s="9"/>
      <c r="AU33" s="32"/>
      <c r="AV33" s="9">
        <v>18</v>
      </c>
      <c r="AW33" s="7">
        <v>0.21764631461701356</v>
      </c>
      <c r="AX33" s="9">
        <f t="shared" si="4"/>
        <v>3</v>
      </c>
      <c r="AY33" s="38">
        <f>AVERAGE(AX$6:AX33)</f>
        <v>4.833333333333333</v>
      </c>
      <c r="AZ33" s="32"/>
      <c r="BA33" s="9"/>
      <c r="BB33" s="32"/>
      <c r="BC33" s="9">
        <v>18</v>
      </c>
      <c r="BD33" s="7">
        <v>0.40707863186253235</v>
      </c>
      <c r="BE33" s="9">
        <f t="shared" si="5"/>
        <v>4</v>
      </c>
      <c r="BF33" s="38">
        <f>AVERAGE(BE$6:BE33)</f>
        <v>4.8888888888888893</v>
      </c>
      <c r="BG33" s="32"/>
      <c r="BH33" s="9"/>
      <c r="BI33" s="32"/>
      <c r="BJ33" s="9">
        <v>18</v>
      </c>
      <c r="BK33" s="7">
        <v>0.44720547812175937</v>
      </c>
      <c r="BL33" s="9">
        <f t="shared" si="6"/>
        <v>5</v>
      </c>
      <c r="BM33" s="38">
        <f>AVERAGE(BL$6:BL33)</f>
        <v>5.166666666666667</v>
      </c>
      <c r="BN33" s="32"/>
      <c r="BO33" s="9"/>
      <c r="BP33" s="32"/>
      <c r="BQ33" s="9">
        <v>18</v>
      </c>
      <c r="BR33" s="7">
        <v>0.3574004894180689</v>
      </c>
      <c r="BS33" s="9">
        <f t="shared" si="7"/>
        <v>4</v>
      </c>
      <c r="BT33" s="38">
        <f>AVERAGE(BS$6:BS33)</f>
        <v>4.7222222222222223</v>
      </c>
      <c r="BU33" s="32"/>
      <c r="BV33" s="9"/>
      <c r="BW33" s="32"/>
      <c r="BX33" s="9">
        <v>18</v>
      </c>
      <c r="BY33" s="7">
        <v>0.54767029357026331</v>
      </c>
      <c r="BZ33" s="9">
        <f t="shared" si="8"/>
        <v>5</v>
      </c>
      <c r="CA33" s="38">
        <f>AVERAGE(BZ$6:BZ33)</f>
        <v>3.7777777777777777</v>
      </c>
      <c r="CB33" s="32"/>
      <c r="CC33" s="9"/>
      <c r="CD33" s="32"/>
      <c r="CE33" s="9">
        <v>18</v>
      </c>
      <c r="CF33" s="7">
        <v>0.2390364503080491</v>
      </c>
      <c r="CG33" s="9">
        <f t="shared" si="22"/>
        <v>3</v>
      </c>
      <c r="CH33" s="38">
        <f>AVERAGE(CG$6:CG33)</f>
        <v>4.5555555555555554</v>
      </c>
      <c r="CI33" s="32"/>
      <c r="CJ33" s="9"/>
      <c r="CK33" s="32"/>
      <c r="CL33" s="9">
        <v>18</v>
      </c>
      <c r="CM33" s="7">
        <v>6.6489664313849062E-2</v>
      </c>
      <c r="CN33" s="9">
        <f t="shared" si="9"/>
        <v>2</v>
      </c>
      <c r="CO33" s="38">
        <f>AVERAGE(CN$6:CN33)</f>
        <v>4.4444444444444446</v>
      </c>
      <c r="CP33" s="32"/>
      <c r="CQ33" s="9"/>
      <c r="CR33" s="32"/>
      <c r="CS33" s="9">
        <v>18</v>
      </c>
      <c r="CT33" s="7">
        <v>0.48386576829943806</v>
      </c>
      <c r="CU33" s="9">
        <f t="shared" si="10"/>
        <v>5</v>
      </c>
      <c r="CV33" s="38">
        <f>AVERAGE(CU$6:CU33)</f>
        <v>4.833333333333333</v>
      </c>
      <c r="CW33" s="32"/>
      <c r="CX33" s="9"/>
      <c r="CY33" s="32"/>
      <c r="CZ33" s="9">
        <v>18</v>
      </c>
      <c r="DA33" s="7">
        <v>0.99333440430928022</v>
      </c>
      <c r="DB33" s="9">
        <f t="shared" si="11"/>
        <v>11</v>
      </c>
      <c r="DC33" s="38">
        <f>AVERAGE(DB$6:DB33)</f>
        <v>4.833333333333333</v>
      </c>
      <c r="DD33" s="32"/>
      <c r="DE33" s="9"/>
      <c r="DF33" s="32"/>
      <c r="DG33" s="9">
        <v>18</v>
      </c>
      <c r="DH33" s="7">
        <v>0.90056970572913997</v>
      </c>
      <c r="DI33" s="9">
        <f t="shared" si="12"/>
        <v>8</v>
      </c>
      <c r="DJ33" s="38">
        <f>AVERAGE(DI$6:DI33)</f>
        <v>4.2777777777777777</v>
      </c>
      <c r="DK33" s="32"/>
      <c r="DL33" s="9"/>
      <c r="DM33" s="32"/>
      <c r="DN33" s="9">
        <v>18</v>
      </c>
      <c r="DO33" s="7">
        <v>0.8374373470142018</v>
      </c>
      <c r="DP33" s="9">
        <f t="shared" si="13"/>
        <v>7</v>
      </c>
      <c r="DQ33" s="38">
        <f>AVERAGE(DP$6:DP33)</f>
        <v>4.4444444444444446</v>
      </c>
      <c r="DR33" s="32"/>
      <c r="DS33" s="9"/>
      <c r="DT33" s="32"/>
      <c r="DU33" s="9">
        <v>18</v>
      </c>
      <c r="DV33" s="7">
        <v>0.20261196268256754</v>
      </c>
      <c r="DW33" s="9">
        <f t="shared" si="14"/>
        <v>3</v>
      </c>
      <c r="DX33" s="38">
        <f>AVERAGE(DW$6:DW33)</f>
        <v>4.666666666666667</v>
      </c>
      <c r="DY33" s="32"/>
      <c r="DZ33" s="9"/>
      <c r="EA33" s="32"/>
      <c r="EB33" s="9">
        <v>18</v>
      </c>
      <c r="EC33" s="7">
        <v>0.86229403878678568</v>
      </c>
      <c r="ED33" s="9">
        <f t="shared" si="15"/>
        <v>7</v>
      </c>
      <c r="EE33" s="38">
        <f>AVERAGE(ED$6:ED33)</f>
        <v>4.7777777777777777</v>
      </c>
      <c r="EF33" s="32"/>
      <c r="EG33" s="9"/>
      <c r="EH33" s="32"/>
      <c r="EI33" s="9">
        <v>18</v>
      </c>
      <c r="EJ33" s="7">
        <v>0.74901193252298981</v>
      </c>
      <c r="EK33" s="9">
        <f t="shared" si="16"/>
        <v>6</v>
      </c>
      <c r="EL33" s="38">
        <f>AVERAGE(EK$6:EK33)</f>
        <v>4.2222222222222223</v>
      </c>
      <c r="EM33" s="32"/>
      <c r="EN33" s="9"/>
      <c r="EO33" s="32"/>
      <c r="EP33" s="9">
        <v>18</v>
      </c>
      <c r="EQ33" s="7">
        <v>0.12034177049645223</v>
      </c>
      <c r="ER33" s="9">
        <f t="shared" si="17"/>
        <v>2</v>
      </c>
      <c r="ES33" s="38">
        <f>AVERAGE(ER$6:ER33)</f>
        <v>3.7222222222222223</v>
      </c>
      <c r="ET33" s="32"/>
    </row>
    <row r="34" spans="4:150" x14ac:dyDescent="0.25">
      <c r="D34">
        <v>18</v>
      </c>
      <c r="E34" s="7">
        <f t="shared" si="23"/>
        <v>4.0146403778869772E-6</v>
      </c>
      <c r="F34" s="4">
        <f t="shared" si="18"/>
        <v>0.99999859830210802</v>
      </c>
      <c r="G34" s="4">
        <f t="shared" si="19"/>
        <v>0.99999458366173011</v>
      </c>
      <c r="H34" s="4">
        <f t="shared" si="20"/>
        <v>0.99999859830210802</v>
      </c>
      <c r="L34" s="32"/>
      <c r="M34" s="9">
        <v>19</v>
      </c>
      <c r="N34" s="7">
        <v>0.5737755224108696</v>
      </c>
      <c r="O34" s="9">
        <f t="shared" si="21"/>
        <v>5</v>
      </c>
      <c r="P34" s="38">
        <f>AVERAGE(O$6:O34)</f>
        <v>4.8947368421052628</v>
      </c>
      <c r="Q34" s="32"/>
      <c r="R34" s="9"/>
      <c r="S34" s="32"/>
      <c r="T34" s="9">
        <v>19</v>
      </c>
      <c r="U34" s="7">
        <v>0.61947142047574744</v>
      </c>
      <c r="V34" s="9">
        <f t="shared" si="0"/>
        <v>6</v>
      </c>
      <c r="W34" s="38">
        <f>AVERAGE(V$6:V34)</f>
        <v>4.4210526315789478</v>
      </c>
      <c r="X34" s="32"/>
      <c r="Y34" s="9"/>
      <c r="Z34" s="32"/>
      <c r="AA34" s="9">
        <v>19</v>
      </c>
      <c r="AB34" s="7">
        <v>0.87383964902255684</v>
      </c>
      <c r="AC34" s="9">
        <f t="shared" si="1"/>
        <v>8</v>
      </c>
      <c r="AD34" s="38">
        <f>AVERAGE(AC$6:AC34)</f>
        <v>4.4210526315789478</v>
      </c>
      <c r="AE34" s="32"/>
      <c r="AF34" s="9"/>
      <c r="AG34" s="32"/>
      <c r="AH34" s="9">
        <v>19</v>
      </c>
      <c r="AI34" s="7">
        <v>0.24430614366428927</v>
      </c>
      <c r="AJ34" s="9">
        <f t="shared" si="2"/>
        <v>3</v>
      </c>
      <c r="AK34" s="38">
        <f>AVERAGE(AJ$6:AJ34)</f>
        <v>5</v>
      </c>
      <c r="AL34" s="32"/>
      <c r="AM34" s="9"/>
      <c r="AN34" s="32"/>
      <c r="AO34" s="9">
        <v>19</v>
      </c>
      <c r="AP34" s="7">
        <v>0.79366895160637796</v>
      </c>
      <c r="AQ34" s="9">
        <f t="shared" si="3"/>
        <v>7</v>
      </c>
      <c r="AR34" s="38">
        <f>AVERAGE(AQ$6:AQ34)</f>
        <v>4.7894736842105265</v>
      </c>
      <c r="AS34" s="32"/>
      <c r="AT34" s="9"/>
      <c r="AU34" s="32"/>
      <c r="AV34" s="9">
        <v>19</v>
      </c>
      <c r="AW34" s="7">
        <v>8.7852027791086584E-2</v>
      </c>
      <c r="AX34" s="9">
        <f t="shared" si="4"/>
        <v>2</v>
      </c>
      <c r="AY34" s="38">
        <f>AVERAGE(AX$6:AX34)</f>
        <v>4.6842105263157894</v>
      </c>
      <c r="AZ34" s="32"/>
      <c r="BA34" s="9"/>
      <c r="BB34" s="32"/>
      <c r="BC34" s="9">
        <v>19</v>
      </c>
      <c r="BD34" s="7">
        <v>0.64549540923326276</v>
      </c>
      <c r="BE34" s="9">
        <f t="shared" si="5"/>
        <v>6</v>
      </c>
      <c r="BF34" s="38">
        <f>AVERAGE(BE$6:BE34)</f>
        <v>4.9473684210526319</v>
      </c>
      <c r="BG34" s="32"/>
      <c r="BH34" s="9"/>
      <c r="BI34" s="32"/>
      <c r="BJ34" s="9">
        <v>19</v>
      </c>
      <c r="BK34" s="7">
        <v>0.31082123273517936</v>
      </c>
      <c r="BL34" s="9">
        <f t="shared" si="6"/>
        <v>4</v>
      </c>
      <c r="BM34" s="38">
        <f>AVERAGE(BL$6:BL34)</f>
        <v>5.1052631578947372</v>
      </c>
      <c r="BN34" s="32"/>
      <c r="BO34" s="9"/>
      <c r="BP34" s="32"/>
      <c r="BQ34" s="9">
        <v>19</v>
      </c>
      <c r="BR34" s="7">
        <v>6.1252050334587693E-2</v>
      </c>
      <c r="BS34" s="9">
        <f t="shared" si="7"/>
        <v>2</v>
      </c>
      <c r="BT34" s="38">
        <f>AVERAGE(BS$6:BS34)</f>
        <v>4.5789473684210522</v>
      </c>
      <c r="BU34" s="32"/>
      <c r="BV34" s="9"/>
      <c r="BW34" s="32"/>
      <c r="BX34" s="9">
        <v>19</v>
      </c>
      <c r="BY34" s="7">
        <v>5.0201188714709133E-2</v>
      </c>
      <c r="BZ34" s="9">
        <f t="shared" si="8"/>
        <v>2</v>
      </c>
      <c r="CA34" s="38">
        <f>AVERAGE(BZ$6:BZ34)</f>
        <v>3.6842105263157894</v>
      </c>
      <c r="CB34" s="32"/>
      <c r="CC34" s="9"/>
      <c r="CD34" s="32"/>
      <c r="CE34" s="9">
        <v>19</v>
      </c>
      <c r="CF34" s="7">
        <v>0.10377190867438912</v>
      </c>
      <c r="CG34" s="9">
        <f t="shared" si="22"/>
        <v>2</v>
      </c>
      <c r="CH34" s="38">
        <f>AVERAGE(CG$6:CG34)</f>
        <v>4.4210526315789478</v>
      </c>
      <c r="CI34" s="32"/>
      <c r="CJ34" s="9"/>
      <c r="CK34" s="32"/>
      <c r="CL34" s="9">
        <v>19</v>
      </c>
      <c r="CM34" s="7">
        <v>0.24217712166137062</v>
      </c>
      <c r="CN34" s="9">
        <f t="shared" si="9"/>
        <v>3</v>
      </c>
      <c r="CO34" s="38">
        <f>AVERAGE(CN$6:CN34)</f>
        <v>4.3684210526315788</v>
      </c>
      <c r="CP34" s="32"/>
      <c r="CQ34" s="9"/>
      <c r="CR34" s="32"/>
      <c r="CS34" s="9">
        <v>19</v>
      </c>
      <c r="CT34" s="7">
        <v>0.19087067423970439</v>
      </c>
      <c r="CU34" s="9">
        <f t="shared" si="10"/>
        <v>3</v>
      </c>
      <c r="CV34" s="38">
        <f>AVERAGE(CU$6:CU34)</f>
        <v>4.7368421052631575</v>
      </c>
      <c r="CW34" s="32"/>
      <c r="CX34" s="9"/>
      <c r="CY34" s="32"/>
      <c r="CZ34" s="9">
        <v>19</v>
      </c>
      <c r="DA34" s="7">
        <v>0.56721821930841543</v>
      </c>
      <c r="DB34" s="9">
        <f t="shared" si="11"/>
        <v>5</v>
      </c>
      <c r="DC34" s="38">
        <f>AVERAGE(DB$6:DB34)</f>
        <v>4.8421052631578947</v>
      </c>
      <c r="DD34" s="32"/>
      <c r="DE34" s="9"/>
      <c r="DF34" s="32"/>
      <c r="DG34" s="9">
        <v>19</v>
      </c>
      <c r="DH34" s="7">
        <v>0.79339845053618774</v>
      </c>
      <c r="DI34" s="9">
        <f t="shared" si="12"/>
        <v>7</v>
      </c>
      <c r="DJ34" s="38">
        <f>AVERAGE(DI$6:DI34)</f>
        <v>4.4210526315789478</v>
      </c>
      <c r="DK34" s="32"/>
      <c r="DL34" s="9"/>
      <c r="DM34" s="32"/>
      <c r="DN34" s="9">
        <v>19</v>
      </c>
      <c r="DO34" s="7">
        <v>0.2802337123430334</v>
      </c>
      <c r="DP34" s="9">
        <f t="shared" si="13"/>
        <v>4</v>
      </c>
      <c r="DQ34" s="38">
        <f>AVERAGE(DP$6:DP34)</f>
        <v>4.4210526315789478</v>
      </c>
      <c r="DR34" s="32"/>
      <c r="DS34" s="9"/>
      <c r="DT34" s="32"/>
      <c r="DU34" s="9">
        <v>19</v>
      </c>
      <c r="DV34" s="7">
        <v>0.3451607815513853</v>
      </c>
      <c r="DW34" s="9">
        <f t="shared" si="14"/>
        <v>4</v>
      </c>
      <c r="DX34" s="38">
        <f>AVERAGE(DW$6:DW34)</f>
        <v>4.6315789473684212</v>
      </c>
      <c r="DY34" s="32"/>
      <c r="DZ34" s="9"/>
      <c r="EA34" s="32"/>
      <c r="EB34" s="9">
        <v>19</v>
      </c>
      <c r="EC34" s="7">
        <v>8.1429975223727524E-2</v>
      </c>
      <c r="ED34" s="9">
        <f t="shared" si="15"/>
        <v>2</v>
      </c>
      <c r="EE34" s="38">
        <f>AVERAGE(ED$6:ED34)</f>
        <v>4.6315789473684212</v>
      </c>
      <c r="EF34" s="32"/>
      <c r="EG34" s="9"/>
      <c r="EH34" s="32"/>
      <c r="EI34" s="9">
        <v>19</v>
      </c>
      <c r="EJ34" s="7">
        <v>0.74114524936885573</v>
      </c>
      <c r="EK34" s="9">
        <f t="shared" si="16"/>
        <v>6</v>
      </c>
      <c r="EL34" s="38">
        <f>AVERAGE(EK$6:EK34)</f>
        <v>4.3157894736842106</v>
      </c>
      <c r="EM34" s="32"/>
      <c r="EN34" s="9"/>
      <c r="EO34" s="32"/>
      <c r="EP34" s="9">
        <v>19</v>
      </c>
      <c r="EQ34" s="7">
        <v>0.97601180570200086</v>
      </c>
      <c r="ER34" s="9">
        <f t="shared" si="17"/>
        <v>10</v>
      </c>
      <c r="ES34" s="38">
        <f>AVERAGE(ER$6:ER34)</f>
        <v>4.0526315789473681</v>
      </c>
      <c r="ET34" s="32"/>
    </row>
    <row r="35" spans="4:150" x14ac:dyDescent="0.25">
      <c r="D35">
        <v>19</v>
      </c>
      <c r="E35" s="7">
        <f t="shared" si="23"/>
        <v>1.0564843099702573E-6</v>
      </c>
      <c r="F35" s="4">
        <f t="shared" si="18"/>
        <v>0.99999965478641795</v>
      </c>
      <c r="G35" s="4">
        <f t="shared" si="19"/>
        <v>0.99999859830210802</v>
      </c>
      <c r="H35" s="4">
        <f t="shared" si="20"/>
        <v>0.99999965478641795</v>
      </c>
      <c r="L35" s="32"/>
      <c r="M35" s="9">
        <v>20</v>
      </c>
      <c r="N35" s="7">
        <v>0.494394041626947</v>
      </c>
      <c r="O35" s="9">
        <f t="shared" si="21"/>
        <v>5</v>
      </c>
      <c r="P35" s="38">
        <f>AVERAGE(O$6:O35)</f>
        <v>4.9000000000000004</v>
      </c>
      <c r="Q35" s="32"/>
      <c r="R35" s="9"/>
      <c r="S35" s="32"/>
      <c r="T35" s="9">
        <v>20</v>
      </c>
      <c r="U35" s="7">
        <v>2.7781545039033517E-2</v>
      </c>
      <c r="V35" s="9">
        <f t="shared" si="0"/>
        <v>1</v>
      </c>
      <c r="W35" s="38">
        <f>AVERAGE(V$6:V35)</f>
        <v>4.25</v>
      </c>
      <c r="X35" s="32"/>
      <c r="Y35" s="9"/>
      <c r="Z35" s="32"/>
      <c r="AA35" s="9">
        <v>20</v>
      </c>
      <c r="AB35" s="7">
        <v>2.7419246645877138E-2</v>
      </c>
      <c r="AC35" s="9">
        <f t="shared" si="1"/>
        <v>1</v>
      </c>
      <c r="AD35" s="38">
        <f>AVERAGE(AC$6:AC35)</f>
        <v>4.25</v>
      </c>
      <c r="AE35" s="32"/>
      <c r="AF35" s="9"/>
      <c r="AG35" s="32"/>
      <c r="AH35" s="9">
        <v>20</v>
      </c>
      <c r="AI35" s="7">
        <v>0.81766398713807575</v>
      </c>
      <c r="AJ35" s="9">
        <f t="shared" si="2"/>
        <v>7</v>
      </c>
      <c r="AK35" s="38">
        <f>AVERAGE(AJ$6:AJ35)</f>
        <v>5.0999999999999996</v>
      </c>
      <c r="AL35" s="32"/>
      <c r="AM35" s="9"/>
      <c r="AN35" s="32"/>
      <c r="AO35" s="9">
        <v>20</v>
      </c>
      <c r="AP35" s="7">
        <v>0.73951007731375284</v>
      </c>
      <c r="AQ35" s="9">
        <f t="shared" si="3"/>
        <v>6</v>
      </c>
      <c r="AR35" s="38">
        <f>AVERAGE(AQ$6:AQ35)</f>
        <v>4.8499999999999996</v>
      </c>
      <c r="AS35" s="32"/>
      <c r="AT35" s="9"/>
      <c r="AU35" s="32"/>
      <c r="AV35" s="9">
        <v>20</v>
      </c>
      <c r="AW35" s="7">
        <v>0.24379431243869476</v>
      </c>
      <c r="AX35" s="9">
        <f t="shared" si="4"/>
        <v>3</v>
      </c>
      <c r="AY35" s="38">
        <f>AVERAGE(AX$6:AX35)</f>
        <v>4.5999999999999996</v>
      </c>
      <c r="AZ35" s="32"/>
      <c r="BA35" s="9"/>
      <c r="BB35" s="32"/>
      <c r="BC35" s="9">
        <v>20</v>
      </c>
      <c r="BD35" s="7">
        <v>0.43013575515942648</v>
      </c>
      <c r="BE35" s="9">
        <f t="shared" si="5"/>
        <v>4</v>
      </c>
      <c r="BF35" s="38">
        <f>AVERAGE(BE$6:BE35)</f>
        <v>4.9000000000000004</v>
      </c>
      <c r="BG35" s="32"/>
      <c r="BH35" s="9"/>
      <c r="BI35" s="32"/>
      <c r="BJ35" s="9">
        <v>20</v>
      </c>
      <c r="BK35" s="7">
        <v>7.2934858646476641E-2</v>
      </c>
      <c r="BL35" s="9">
        <f t="shared" si="6"/>
        <v>2</v>
      </c>
      <c r="BM35" s="38">
        <f>AVERAGE(BL$6:BL35)</f>
        <v>4.95</v>
      </c>
      <c r="BN35" s="32"/>
      <c r="BO35" s="9"/>
      <c r="BP35" s="32"/>
      <c r="BQ35" s="9">
        <v>20</v>
      </c>
      <c r="BR35" s="7">
        <v>0.54480592234176584</v>
      </c>
      <c r="BS35" s="9">
        <f t="shared" si="7"/>
        <v>5</v>
      </c>
      <c r="BT35" s="38">
        <f>AVERAGE(BS$6:BS35)</f>
        <v>4.5999999999999996</v>
      </c>
      <c r="BU35" s="32"/>
      <c r="BV35" s="9"/>
      <c r="BW35" s="32"/>
      <c r="BX35" s="9">
        <v>20</v>
      </c>
      <c r="BY35" s="7">
        <v>0.85361218810430728</v>
      </c>
      <c r="BZ35" s="9">
        <f t="shared" si="8"/>
        <v>7</v>
      </c>
      <c r="CA35" s="38">
        <f>AVERAGE(BZ$6:BZ35)</f>
        <v>3.85</v>
      </c>
      <c r="CB35" s="32"/>
      <c r="CC35" s="9"/>
      <c r="CD35" s="32"/>
      <c r="CE35" s="9">
        <v>20</v>
      </c>
      <c r="CF35" s="7">
        <v>0.44253296733950265</v>
      </c>
      <c r="CG35" s="9">
        <f t="shared" si="22"/>
        <v>5</v>
      </c>
      <c r="CH35" s="38">
        <f>AVERAGE(CG$6:CG35)</f>
        <v>4.45</v>
      </c>
      <c r="CI35" s="32"/>
      <c r="CJ35" s="9"/>
      <c r="CK35" s="32"/>
      <c r="CL35" s="9">
        <v>20</v>
      </c>
      <c r="CM35" s="7">
        <v>0.7212176556349732</v>
      </c>
      <c r="CN35" s="9">
        <f t="shared" si="9"/>
        <v>6</v>
      </c>
      <c r="CO35" s="38">
        <f>AVERAGE(CN$6:CN35)</f>
        <v>4.45</v>
      </c>
      <c r="CP35" s="32"/>
      <c r="CQ35" s="9"/>
      <c r="CR35" s="32"/>
      <c r="CS35" s="9">
        <v>20</v>
      </c>
      <c r="CT35" s="7">
        <v>0.29839723347686231</v>
      </c>
      <c r="CU35" s="9">
        <f t="shared" si="10"/>
        <v>4</v>
      </c>
      <c r="CV35" s="38">
        <f>AVERAGE(CU$6:CU35)</f>
        <v>4.7</v>
      </c>
      <c r="CW35" s="32"/>
      <c r="CX35" s="9"/>
      <c r="CY35" s="32"/>
      <c r="CZ35" s="9">
        <v>20</v>
      </c>
      <c r="DA35" s="7">
        <v>0.11738294386304915</v>
      </c>
      <c r="DB35" s="9">
        <f t="shared" si="11"/>
        <v>2</v>
      </c>
      <c r="DC35" s="38">
        <f>AVERAGE(DB$6:DB35)</f>
        <v>4.7</v>
      </c>
      <c r="DD35" s="32"/>
      <c r="DE35" s="9"/>
      <c r="DF35" s="32"/>
      <c r="DG35" s="9">
        <v>20</v>
      </c>
      <c r="DH35" s="7">
        <v>0.60020202616578899</v>
      </c>
      <c r="DI35" s="9">
        <f t="shared" si="12"/>
        <v>5</v>
      </c>
      <c r="DJ35" s="38">
        <f>AVERAGE(DI$6:DI35)</f>
        <v>4.45</v>
      </c>
      <c r="DK35" s="32"/>
      <c r="DL35" s="9"/>
      <c r="DM35" s="32"/>
      <c r="DN35" s="9">
        <v>20</v>
      </c>
      <c r="DO35" s="7">
        <v>0.32036185669130646</v>
      </c>
      <c r="DP35" s="9">
        <f t="shared" si="13"/>
        <v>4</v>
      </c>
      <c r="DQ35" s="38">
        <f>AVERAGE(DP$6:DP35)</f>
        <v>4.4000000000000004</v>
      </c>
      <c r="DR35" s="32"/>
      <c r="DS35" s="9"/>
      <c r="DT35" s="32"/>
      <c r="DU35" s="9">
        <v>20</v>
      </c>
      <c r="DV35" s="7">
        <v>0.75780249899253249</v>
      </c>
      <c r="DW35" s="9">
        <f t="shared" si="14"/>
        <v>6</v>
      </c>
      <c r="DX35" s="38">
        <f>AVERAGE(DW$6:DW35)</f>
        <v>4.7</v>
      </c>
      <c r="DY35" s="32"/>
      <c r="DZ35" s="9"/>
      <c r="EA35" s="32"/>
      <c r="EB35" s="9">
        <v>20</v>
      </c>
      <c r="EC35" s="7">
        <v>0.93643724024877883</v>
      </c>
      <c r="ED35" s="9">
        <f t="shared" si="15"/>
        <v>9</v>
      </c>
      <c r="EE35" s="38">
        <f>AVERAGE(ED$6:ED35)</f>
        <v>4.8499999999999996</v>
      </c>
      <c r="EF35" s="32"/>
      <c r="EG35" s="9"/>
      <c r="EH35" s="32"/>
      <c r="EI35" s="9">
        <v>20</v>
      </c>
      <c r="EJ35" s="7">
        <v>0.68980342498980463</v>
      </c>
      <c r="EK35" s="9">
        <f t="shared" si="16"/>
        <v>6</v>
      </c>
      <c r="EL35" s="38">
        <f>AVERAGE(EK$6:EK35)</f>
        <v>4.4000000000000004</v>
      </c>
      <c r="EM35" s="32"/>
      <c r="EN35" s="9"/>
      <c r="EO35" s="32"/>
      <c r="EP35" s="9">
        <v>20</v>
      </c>
      <c r="EQ35" s="7">
        <v>0.64607993655954488</v>
      </c>
      <c r="ER35" s="9">
        <f t="shared" si="17"/>
        <v>6</v>
      </c>
      <c r="ES35" s="38">
        <f>AVERAGE(ER$6:ER35)</f>
        <v>4.1500000000000004</v>
      </c>
      <c r="ET35" s="32"/>
    </row>
    <row r="36" spans="4:150" x14ac:dyDescent="0.25">
      <c r="D36">
        <v>20</v>
      </c>
      <c r="E36" s="7">
        <f t="shared" si="23"/>
        <v>2.6412107749256427E-7</v>
      </c>
      <c r="F36" s="4">
        <f t="shared" si="18"/>
        <v>0.9999999189074954</v>
      </c>
      <c r="G36" s="4">
        <f t="shared" si="19"/>
        <v>0.99999965478641795</v>
      </c>
      <c r="H36" s="4">
        <f t="shared" si="20"/>
        <v>0.9999999189074954</v>
      </c>
      <c r="L36" s="32"/>
      <c r="M36" s="9">
        <v>21</v>
      </c>
      <c r="N36" s="7">
        <v>0.61293143790680915</v>
      </c>
      <c r="O36" s="9">
        <f t="shared" si="21"/>
        <v>5</v>
      </c>
      <c r="P36" s="38">
        <f>AVERAGE(O$6:O36)</f>
        <v>4.9047619047619051</v>
      </c>
      <c r="Q36" s="32"/>
      <c r="R36" s="9"/>
      <c r="S36" s="32"/>
      <c r="T36" s="9">
        <v>21</v>
      </c>
      <c r="U36" s="7">
        <v>0.30749569513136521</v>
      </c>
      <c r="V36" s="9">
        <f t="shared" si="0"/>
        <v>4</v>
      </c>
      <c r="W36" s="38">
        <f>AVERAGE(V$6:V36)</f>
        <v>4.2380952380952381</v>
      </c>
      <c r="X36" s="32"/>
      <c r="Y36" s="9"/>
      <c r="Z36" s="32"/>
      <c r="AA36" s="9">
        <v>21</v>
      </c>
      <c r="AB36" s="7">
        <v>0.12091202265582979</v>
      </c>
      <c r="AC36" s="9">
        <f t="shared" si="1"/>
        <v>2</v>
      </c>
      <c r="AD36" s="38">
        <f>AVERAGE(AC$6:AC36)</f>
        <v>4.1428571428571432</v>
      </c>
      <c r="AE36" s="32"/>
      <c r="AF36" s="9"/>
      <c r="AG36" s="32"/>
      <c r="AH36" s="9">
        <v>21</v>
      </c>
      <c r="AI36" s="7">
        <v>9.6953376138117164E-2</v>
      </c>
      <c r="AJ36" s="9">
        <f t="shared" si="2"/>
        <v>2</v>
      </c>
      <c r="AK36" s="38">
        <f>AVERAGE(AJ$6:AJ36)</f>
        <v>4.9523809523809526</v>
      </c>
      <c r="AL36" s="32"/>
      <c r="AM36" s="9"/>
      <c r="AN36" s="32"/>
      <c r="AO36" s="9">
        <v>21</v>
      </c>
      <c r="AP36" s="7">
        <v>0.84768981661181897</v>
      </c>
      <c r="AQ36" s="9">
        <f t="shared" si="3"/>
        <v>7</v>
      </c>
      <c r="AR36" s="38">
        <f>AVERAGE(AQ$6:AQ36)</f>
        <v>4.9523809523809526</v>
      </c>
      <c r="AS36" s="32"/>
      <c r="AT36" s="9"/>
      <c r="AU36" s="32"/>
      <c r="AV36" s="9">
        <v>21</v>
      </c>
      <c r="AW36" s="7">
        <v>0.55407090595690534</v>
      </c>
      <c r="AX36" s="9">
        <f t="shared" si="4"/>
        <v>5</v>
      </c>
      <c r="AY36" s="38">
        <f>AVERAGE(AX$6:AX36)</f>
        <v>4.6190476190476186</v>
      </c>
      <c r="AZ36" s="32"/>
      <c r="BA36" s="9"/>
      <c r="BB36" s="32"/>
      <c r="BC36" s="9">
        <v>21</v>
      </c>
      <c r="BD36" s="7">
        <v>0.5199139071337413</v>
      </c>
      <c r="BE36" s="9">
        <f t="shared" si="5"/>
        <v>5</v>
      </c>
      <c r="BF36" s="38">
        <f>AVERAGE(BE$6:BE36)</f>
        <v>4.9047619047619051</v>
      </c>
      <c r="BG36" s="32"/>
      <c r="BH36" s="9"/>
      <c r="BI36" s="32"/>
      <c r="BJ36" s="9">
        <v>21</v>
      </c>
      <c r="BK36" s="7">
        <v>0.5614522029645741</v>
      </c>
      <c r="BL36" s="9">
        <f t="shared" si="6"/>
        <v>5</v>
      </c>
      <c r="BM36" s="38">
        <f>AVERAGE(BL$6:BL36)</f>
        <v>4.9523809523809526</v>
      </c>
      <c r="BN36" s="32"/>
      <c r="BO36" s="9"/>
      <c r="BP36" s="32"/>
      <c r="BQ36" s="9">
        <v>21</v>
      </c>
      <c r="BR36" s="7">
        <v>0.57505000603850931</v>
      </c>
      <c r="BS36" s="9">
        <f t="shared" si="7"/>
        <v>5</v>
      </c>
      <c r="BT36" s="38">
        <f>AVERAGE(BS$6:BS36)</f>
        <v>4.6190476190476186</v>
      </c>
      <c r="BU36" s="32"/>
      <c r="BV36" s="9"/>
      <c r="BW36" s="32"/>
      <c r="BX36" s="9">
        <v>21</v>
      </c>
      <c r="BY36" s="7">
        <v>0.61027687374735251</v>
      </c>
      <c r="BZ36" s="9">
        <f t="shared" si="8"/>
        <v>5</v>
      </c>
      <c r="CA36" s="38">
        <f>AVERAGE(BZ$6:BZ36)</f>
        <v>3.9047619047619047</v>
      </c>
      <c r="CB36" s="32"/>
      <c r="CC36" s="9"/>
      <c r="CD36" s="32"/>
      <c r="CE36" s="9">
        <v>21</v>
      </c>
      <c r="CF36" s="7">
        <v>0.9044781798729673</v>
      </c>
      <c r="CG36" s="9">
        <f t="shared" si="22"/>
        <v>8</v>
      </c>
      <c r="CH36" s="38">
        <f>AVERAGE(CG$6:CG36)</f>
        <v>4.6190476190476186</v>
      </c>
      <c r="CI36" s="32"/>
      <c r="CJ36" s="9"/>
      <c r="CK36" s="32"/>
      <c r="CL36" s="9">
        <v>21</v>
      </c>
      <c r="CM36" s="7">
        <v>0.42709265204030089</v>
      </c>
      <c r="CN36" s="9">
        <f t="shared" si="9"/>
        <v>4</v>
      </c>
      <c r="CO36" s="38">
        <f>AVERAGE(CN$6:CN36)</f>
        <v>4.4285714285714288</v>
      </c>
      <c r="CP36" s="32"/>
      <c r="CQ36" s="9"/>
      <c r="CR36" s="32"/>
      <c r="CS36" s="9">
        <v>21</v>
      </c>
      <c r="CT36" s="7">
        <v>0.67457524061319418</v>
      </c>
      <c r="CU36" s="9">
        <f t="shared" si="10"/>
        <v>6</v>
      </c>
      <c r="CV36" s="38">
        <f>AVERAGE(CU$6:CU36)</f>
        <v>4.7619047619047619</v>
      </c>
      <c r="CW36" s="32"/>
      <c r="CX36" s="9"/>
      <c r="CY36" s="32"/>
      <c r="CZ36" s="9">
        <v>21</v>
      </c>
      <c r="DA36" s="7">
        <v>0.45221608949941583</v>
      </c>
      <c r="DB36" s="9">
        <f t="shared" si="11"/>
        <v>5</v>
      </c>
      <c r="DC36" s="38">
        <f>AVERAGE(DB$6:DB36)</f>
        <v>4.7142857142857144</v>
      </c>
      <c r="DD36" s="32"/>
      <c r="DE36" s="9"/>
      <c r="DF36" s="32"/>
      <c r="DG36" s="9">
        <v>21</v>
      </c>
      <c r="DH36" s="7">
        <v>0.10404347541043535</v>
      </c>
      <c r="DI36" s="9">
        <f t="shared" si="12"/>
        <v>2</v>
      </c>
      <c r="DJ36" s="38">
        <f>AVERAGE(DI$6:DI36)</f>
        <v>4.333333333333333</v>
      </c>
      <c r="DK36" s="32"/>
      <c r="DL36" s="9"/>
      <c r="DM36" s="32"/>
      <c r="DN36" s="9">
        <v>21</v>
      </c>
      <c r="DO36" s="7">
        <v>0.98635619605192915</v>
      </c>
      <c r="DP36" s="9">
        <f t="shared" si="13"/>
        <v>11</v>
      </c>
      <c r="DQ36" s="38">
        <f>AVERAGE(DP$6:DP36)</f>
        <v>4.7142857142857144</v>
      </c>
      <c r="DR36" s="32"/>
      <c r="DS36" s="9"/>
      <c r="DT36" s="32"/>
      <c r="DU36" s="9">
        <v>21</v>
      </c>
      <c r="DV36" s="7">
        <v>0.26828698118333705</v>
      </c>
      <c r="DW36" s="9">
        <f t="shared" si="14"/>
        <v>4</v>
      </c>
      <c r="DX36" s="38">
        <f>AVERAGE(DW$6:DW36)</f>
        <v>4.666666666666667</v>
      </c>
      <c r="DY36" s="32"/>
      <c r="DZ36" s="9"/>
      <c r="EA36" s="32"/>
      <c r="EB36" s="9">
        <v>21</v>
      </c>
      <c r="EC36" s="7">
        <v>0.26517872815020382</v>
      </c>
      <c r="ED36" s="9">
        <f t="shared" si="15"/>
        <v>4</v>
      </c>
      <c r="EE36" s="38">
        <f>AVERAGE(ED$6:ED36)</f>
        <v>4.8095238095238093</v>
      </c>
      <c r="EF36" s="32"/>
      <c r="EG36" s="9"/>
      <c r="EH36" s="32"/>
      <c r="EI36" s="9">
        <v>21</v>
      </c>
      <c r="EJ36" s="7">
        <v>0.24876386977848597</v>
      </c>
      <c r="EK36" s="9">
        <f t="shared" si="16"/>
        <v>3</v>
      </c>
      <c r="EL36" s="38">
        <f>AVERAGE(EK$6:EK36)</f>
        <v>4.333333333333333</v>
      </c>
      <c r="EM36" s="32"/>
      <c r="EN36" s="9"/>
      <c r="EO36" s="32"/>
      <c r="EP36" s="9">
        <v>21</v>
      </c>
      <c r="EQ36" s="7">
        <v>0.73116732819471508</v>
      </c>
      <c r="ER36" s="9">
        <f t="shared" si="17"/>
        <v>6</v>
      </c>
      <c r="ES36" s="38">
        <f>AVERAGE(ER$6:ER36)</f>
        <v>4.2380952380952381</v>
      </c>
      <c r="ET36" s="32"/>
    </row>
    <row r="37" spans="4:150" x14ac:dyDescent="0.25">
      <c r="D37">
        <v>21</v>
      </c>
      <c r="E37" s="7">
        <f t="shared" si="23"/>
        <v>6.2885970831562931E-8</v>
      </c>
      <c r="F37" s="4">
        <f t="shared" si="18"/>
        <v>0.99999998179346627</v>
      </c>
      <c r="G37" s="4">
        <f t="shared" si="19"/>
        <v>0.9999999189074954</v>
      </c>
      <c r="H37" s="4">
        <f t="shared" si="20"/>
        <v>0.99999998179346627</v>
      </c>
      <c r="L37" s="32"/>
      <c r="M37" s="9">
        <v>22</v>
      </c>
      <c r="N37" s="7">
        <v>0.65969052203581668</v>
      </c>
      <c r="O37" s="9">
        <f t="shared" si="21"/>
        <v>6</v>
      </c>
      <c r="P37" s="38">
        <f>AVERAGE(O$6:O37)</f>
        <v>4.9545454545454541</v>
      </c>
      <c r="Q37" s="32"/>
      <c r="R37" s="9"/>
      <c r="S37" s="32"/>
      <c r="T37" s="9">
        <v>22</v>
      </c>
      <c r="U37" s="7">
        <v>0.36028299268218689</v>
      </c>
      <c r="V37" s="9">
        <f t="shared" si="0"/>
        <v>4</v>
      </c>
      <c r="W37" s="38">
        <f>AVERAGE(V$6:V37)</f>
        <v>4.2272727272727275</v>
      </c>
      <c r="X37" s="32"/>
      <c r="Y37" s="9"/>
      <c r="Z37" s="32"/>
      <c r="AA37" s="9">
        <v>22</v>
      </c>
      <c r="AB37" s="7">
        <v>0.26969166778144427</v>
      </c>
      <c r="AC37" s="9">
        <f t="shared" si="1"/>
        <v>4</v>
      </c>
      <c r="AD37" s="38">
        <f>AVERAGE(AC$6:AC37)</f>
        <v>4.1363636363636367</v>
      </c>
      <c r="AE37" s="32"/>
      <c r="AF37" s="9"/>
      <c r="AG37" s="32"/>
      <c r="AH37" s="9">
        <v>22</v>
      </c>
      <c r="AI37" s="7">
        <v>0.93098871115944348</v>
      </c>
      <c r="AJ37" s="9">
        <f t="shared" si="2"/>
        <v>8</v>
      </c>
      <c r="AK37" s="38">
        <f>AVERAGE(AJ$6:AJ37)</f>
        <v>5.0909090909090908</v>
      </c>
      <c r="AL37" s="32"/>
      <c r="AM37" s="9"/>
      <c r="AN37" s="32"/>
      <c r="AO37" s="9">
        <v>22</v>
      </c>
      <c r="AP37" s="7">
        <v>0.56025555511587299</v>
      </c>
      <c r="AQ37" s="9">
        <f t="shared" si="3"/>
        <v>5</v>
      </c>
      <c r="AR37" s="38">
        <f>AVERAGE(AQ$6:AQ37)</f>
        <v>4.9545454545454541</v>
      </c>
      <c r="AS37" s="32"/>
      <c r="AT37" s="9"/>
      <c r="AU37" s="32"/>
      <c r="AV37" s="9">
        <v>22</v>
      </c>
      <c r="AW37" s="7">
        <v>0.34651656783535145</v>
      </c>
      <c r="AX37" s="9">
        <f t="shared" si="4"/>
        <v>4</v>
      </c>
      <c r="AY37" s="38">
        <f>AVERAGE(AX$6:AX37)</f>
        <v>4.5909090909090908</v>
      </c>
      <c r="AZ37" s="32"/>
      <c r="BA37" s="9"/>
      <c r="BB37" s="32"/>
      <c r="BC37" s="9">
        <v>22</v>
      </c>
      <c r="BD37" s="7">
        <v>0.75566217390587553</v>
      </c>
      <c r="BE37" s="9">
        <f t="shared" si="5"/>
        <v>6</v>
      </c>
      <c r="BF37" s="38">
        <f>AVERAGE(BE$6:BE37)</f>
        <v>4.9545454545454541</v>
      </c>
      <c r="BG37" s="32"/>
      <c r="BH37" s="9"/>
      <c r="BI37" s="32"/>
      <c r="BJ37" s="9">
        <v>22</v>
      </c>
      <c r="BK37" s="7">
        <v>0.1478845267847646</v>
      </c>
      <c r="BL37" s="9">
        <f t="shared" si="6"/>
        <v>3</v>
      </c>
      <c r="BM37" s="38">
        <f>AVERAGE(BL$6:BL37)</f>
        <v>4.8636363636363633</v>
      </c>
      <c r="BN37" s="32"/>
      <c r="BO37" s="9"/>
      <c r="BP37" s="32"/>
      <c r="BQ37" s="9">
        <v>22</v>
      </c>
      <c r="BR37" s="7">
        <v>0.15075310986139812</v>
      </c>
      <c r="BS37" s="9">
        <f t="shared" si="7"/>
        <v>3</v>
      </c>
      <c r="BT37" s="38">
        <f>AVERAGE(BS$6:BS37)</f>
        <v>4.5454545454545459</v>
      </c>
      <c r="BU37" s="32"/>
      <c r="BV37" s="9"/>
      <c r="BW37" s="32"/>
      <c r="BX37" s="9">
        <v>22</v>
      </c>
      <c r="BY37" s="7">
        <v>0.29258997991564684</v>
      </c>
      <c r="BZ37" s="9">
        <f t="shared" si="8"/>
        <v>4</v>
      </c>
      <c r="CA37" s="38">
        <f>AVERAGE(BZ$6:BZ37)</f>
        <v>3.9090909090909092</v>
      </c>
      <c r="CB37" s="32"/>
      <c r="CC37" s="9"/>
      <c r="CD37" s="32"/>
      <c r="CE37" s="9">
        <v>22</v>
      </c>
      <c r="CF37" s="7">
        <v>0.80626263460726477</v>
      </c>
      <c r="CG37" s="9">
        <f t="shared" si="22"/>
        <v>7</v>
      </c>
      <c r="CH37" s="38">
        <f>AVERAGE(CG$6:CG37)</f>
        <v>4.7272727272727275</v>
      </c>
      <c r="CI37" s="32"/>
      <c r="CJ37" s="9"/>
      <c r="CK37" s="32"/>
      <c r="CL37" s="9">
        <v>22</v>
      </c>
      <c r="CM37" s="7">
        <v>0.95271580078406259</v>
      </c>
      <c r="CN37" s="9">
        <f t="shared" si="9"/>
        <v>9</v>
      </c>
      <c r="CO37" s="38">
        <f>AVERAGE(CN$6:CN37)</f>
        <v>4.6363636363636367</v>
      </c>
      <c r="CP37" s="32"/>
      <c r="CQ37" s="9"/>
      <c r="CR37" s="32"/>
      <c r="CS37" s="9">
        <v>22</v>
      </c>
      <c r="CT37" s="7">
        <v>0.40624891582410783</v>
      </c>
      <c r="CU37" s="9">
        <f t="shared" si="10"/>
        <v>4</v>
      </c>
      <c r="CV37" s="38">
        <f>AVERAGE(CU$6:CU37)</f>
        <v>4.7272727272727275</v>
      </c>
      <c r="CW37" s="32"/>
      <c r="CX37" s="9"/>
      <c r="CY37" s="32"/>
      <c r="CZ37" s="9">
        <v>22</v>
      </c>
      <c r="DA37" s="7">
        <v>0.89128609222825617</v>
      </c>
      <c r="DB37" s="9">
        <f t="shared" si="11"/>
        <v>8</v>
      </c>
      <c r="DC37" s="38">
        <f>AVERAGE(DB$6:DB37)</f>
        <v>4.8636363636363633</v>
      </c>
      <c r="DD37" s="32"/>
      <c r="DE37" s="9"/>
      <c r="DF37" s="32"/>
      <c r="DG37" s="9">
        <v>22</v>
      </c>
      <c r="DH37" s="7">
        <v>0.58238983640330844</v>
      </c>
      <c r="DI37" s="9">
        <f t="shared" si="12"/>
        <v>5</v>
      </c>
      <c r="DJ37" s="38">
        <f>AVERAGE(DI$6:DI37)</f>
        <v>4.3636363636363633</v>
      </c>
      <c r="DK37" s="32"/>
      <c r="DL37" s="9"/>
      <c r="DM37" s="32"/>
      <c r="DN37" s="9">
        <v>22</v>
      </c>
      <c r="DO37" s="7">
        <v>0.97344096677261405</v>
      </c>
      <c r="DP37" s="9">
        <f t="shared" si="13"/>
        <v>10</v>
      </c>
      <c r="DQ37" s="38">
        <f>AVERAGE(DP$6:DP37)</f>
        <v>4.9545454545454541</v>
      </c>
      <c r="DR37" s="32"/>
      <c r="DS37" s="9"/>
      <c r="DT37" s="32"/>
      <c r="DU37" s="9">
        <v>22</v>
      </c>
      <c r="DV37" s="7">
        <v>0.16779530944768339</v>
      </c>
      <c r="DW37" s="9">
        <f t="shared" si="14"/>
        <v>3</v>
      </c>
      <c r="DX37" s="38">
        <f>AVERAGE(DW$6:DW37)</f>
        <v>4.5909090909090908</v>
      </c>
      <c r="DY37" s="32"/>
      <c r="DZ37" s="9"/>
      <c r="EA37" s="32"/>
      <c r="EB37" s="9">
        <v>22</v>
      </c>
      <c r="EC37" s="7">
        <v>0.56704499738407321</v>
      </c>
      <c r="ED37" s="9">
        <f t="shared" si="15"/>
        <v>5</v>
      </c>
      <c r="EE37" s="38">
        <f>AVERAGE(ED$6:ED37)</f>
        <v>4.8181818181818183</v>
      </c>
      <c r="EF37" s="32"/>
      <c r="EG37" s="9"/>
      <c r="EH37" s="32"/>
      <c r="EI37" s="9">
        <v>22</v>
      </c>
      <c r="EJ37" s="7">
        <v>0.11339293594937772</v>
      </c>
      <c r="EK37" s="9">
        <f t="shared" si="16"/>
        <v>2</v>
      </c>
      <c r="EL37" s="38">
        <f>AVERAGE(EK$6:EK37)</f>
        <v>4.2272727272727275</v>
      </c>
      <c r="EM37" s="32"/>
      <c r="EN37" s="9"/>
      <c r="EO37" s="32"/>
      <c r="EP37" s="9">
        <v>22</v>
      </c>
      <c r="EQ37" s="7">
        <v>0.55117402030737139</v>
      </c>
      <c r="ER37" s="9">
        <f t="shared" si="17"/>
        <v>5</v>
      </c>
      <c r="ES37" s="38">
        <f>AVERAGE(ER$6:ER37)</f>
        <v>4.2727272727272725</v>
      </c>
      <c r="ET37" s="32"/>
    </row>
    <row r="38" spans="4:150" x14ac:dyDescent="0.25">
      <c r="D38">
        <v>22</v>
      </c>
      <c r="E38" s="7">
        <f>(5^D38*EXP(-5))/FACT((D38))</f>
        <v>1.4292266098082485E-8</v>
      </c>
      <c r="F38" s="4">
        <f t="shared" si="18"/>
        <v>0.99999999608573242</v>
      </c>
      <c r="G38" s="4">
        <f t="shared" si="19"/>
        <v>0.99999998179346627</v>
      </c>
      <c r="H38" s="4">
        <f t="shared" si="20"/>
        <v>0.99999999608573242</v>
      </c>
      <c r="L38" s="32"/>
      <c r="M38" s="9">
        <v>23</v>
      </c>
      <c r="N38" s="7">
        <v>0.74061884847469628</v>
      </c>
      <c r="O38" s="9">
        <f t="shared" si="21"/>
        <v>6</v>
      </c>
      <c r="P38" s="38">
        <f>AVERAGE(O$6:O38)</f>
        <v>5</v>
      </c>
      <c r="Q38" s="32"/>
      <c r="R38" s="9"/>
      <c r="S38" s="32"/>
      <c r="T38" s="9">
        <v>23</v>
      </c>
      <c r="U38" s="7">
        <v>0.54574123135535046</v>
      </c>
      <c r="V38" s="9">
        <f t="shared" si="0"/>
        <v>5</v>
      </c>
      <c r="W38" s="38">
        <f>AVERAGE(V$6:V38)</f>
        <v>4.2608695652173916</v>
      </c>
      <c r="X38" s="32"/>
      <c r="Y38" s="9"/>
      <c r="Z38" s="32"/>
      <c r="AA38" s="9">
        <v>23</v>
      </c>
      <c r="AB38" s="7">
        <v>0.89120890747290105</v>
      </c>
      <c r="AC38" s="9">
        <f t="shared" si="1"/>
        <v>8</v>
      </c>
      <c r="AD38" s="38">
        <f>AVERAGE(AC$6:AC38)</f>
        <v>4.3043478260869561</v>
      </c>
      <c r="AE38" s="32"/>
      <c r="AF38" s="9"/>
      <c r="AG38" s="32"/>
      <c r="AH38" s="9">
        <v>23</v>
      </c>
      <c r="AI38" s="7">
        <v>0.45918624714249745</v>
      </c>
      <c r="AJ38" s="9">
        <f t="shared" si="2"/>
        <v>5</v>
      </c>
      <c r="AK38" s="38">
        <f>AVERAGE(AJ$6:AJ38)</f>
        <v>5.0869565217391308</v>
      </c>
      <c r="AL38" s="32"/>
      <c r="AM38" s="9"/>
      <c r="AN38" s="32"/>
      <c r="AO38" s="9">
        <v>23</v>
      </c>
      <c r="AP38" s="7">
        <v>0.53161088470369577</v>
      </c>
      <c r="AQ38" s="9">
        <f t="shared" si="3"/>
        <v>5</v>
      </c>
      <c r="AR38" s="38">
        <f>AVERAGE(AQ$6:AQ38)</f>
        <v>4.9565217391304346</v>
      </c>
      <c r="AS38" s="32"/>
      <c r="AT38" s="9"/>
      <c r="AU38" s="32"/>
      <c r="AV38" s="9">
        <v>23</v>
      </c>
      <c r="AW38" s="7">
        <v>0.45603243523510173</v>
      </c>
      <c r="AX38" s="9">
        <f t="shared" si="4"/>
        <v>5</v>
      </c>
      <c r="AY38" s="38">
        <f>AVERAGE(AX$6:AX38)</f>
        <v>4.6086956521739131</v>
      </c>
      <c r="AZ38" s="32"/>
      <c r="BA38" s="9"/>
      <c r="BB38" s="32"/>
      <c r="BC38" s="9">
        <v>23</v>
      </c>
      <c r="BD38" s="7">
        <v>0.16601956155500375</v>
      </c>
      <c r="BE38" s="9">
        <f t="shared" si="5"/>
        <v>3</v>
      </c>
      <c r="BF38" s="38">
        <f>AVERAGE(BE$6:BE38)</f>
        <v>4.8695652173913047</v>
      </c>
      <c r="BG38" s="32"/>
      <c r="BH38" s="9"/>
      <c r="BI38" s="32"/>
      <c r="BJ38" s="9">
        <v>23</v>
      </c>
      <c r="BK38" s="7">
        <v>0.16053129418287426</v>
      </c>
      <c r="BL38" s="9">
        <f t="shared" si="6"/>
        <v>3</v>
      </c>
      <c r="BM38" s="38">
        <f>AVERAGE(BL$6:BL38)</f>
        <v>4.7826086956521738</v>
      </c>
      <c r="BN38" s="32"/>
      <c r="BO38" s="9"/>
      <c r="BP38" s="32"/>
      <c r="BQ38" s="9">
        <v>23</v>
      </c>
      <c r="BR38" s="7">
        <v>0.63785157864913344</v>
      </c>
      <c r="BS38" s="9">
        <f t="shared" si="7"/>
        <v>6</v>
      </c>
      <c r="BT38" s="38">
        <f>AVERAGE(BS$6:BS38)</f>
        <v>4.6086956521739131</v>
      </c>
      <c r="BU38" s="32"/>
      <c r="BV38" s="9"/>
      <c r="BW38" s="32"/>
      <c r="BX38" s="9">
        <v>23</v>
      </c>
      <c r="BY38" s="7">
        <v>0.68383965658722445</v>
      </c>
      <c r="BZ38" s="9">
        <f t="shared" si="8"/>
        <v>6</v>
      </c>
      <c r="CA38" s="38">
        <f>AVERAGE(BZ$6:BZ38)</f>
        <v>4</v>
      </c>
      <c r="CB38" s="32"/>
      <c r="CC38" s="9"/>
      <c r="CD38" s="32"/>
      <c r="CE38" s="9">
        <v>23</v>
      </c>
      <c r="CF38" s="7">
        <v>0.22525682277046144</v>
      </c>
      <c r="CG38" s="9">
        <f t="shared" si="22"/>
        <v>3</v>
      </c>
      <c r="CH38" s="38">
        <f>AVERAGE(CG$6:CG38)</f>
        <v>4.6521739130434785</v>
      </c>
      <c r="CI38" s="32"/>
      <c r="CJ38" s="9"/>
      <c r="CK38" s="32"/>
      <c r="CL38" s="9">
        <v>23</v>
      </c>
      <c r="CM38" s="7">
        <v>0.64863740382133983</v>
      </c>
      <c r="CN38" s="9">
        <f t="shared" si="9"/>
        <v>6</v>
      </c>
      <c r="CO38" s="38">
        <f>AVERAGE(CN$6:CN38)</f>
        <v>4.6956521739130439</v>
      </c>
      <c r="CP38" s="32"/>
      <c r="CQ38" s="9"/>
      <c r="CR38" s="32"/>
      <c r="CS38" s="9">
        <v>23</v>
      </c>
      <c r="CT38" s="7">
        <v>0.21819164944463409</v>
      </c>
      <c r="CU38" s="9">
        <f t="shared" si="10"/>
        <v>3</v>
      </c>
      <c r="CV38" s="38">
        <f>AVERAGE(CU$6:CU38)</f>
        <v>4.6521739130434785</v>
      </c>
      <c r="CW38" s="32"/>
      <c r="CX38" s="9"/>
      <c r="CY38" s="32"/>
      <c r="CZ38" s="9">
        <v>23</v>
      </c>
      <c r="DA38" s="7">
        <v>1.2337497581029311E-2</v>
      </c>
      <c r="DB38" s="9">
        <f t="shared" si="11"/>
        <v>1</v>
      </c>
      <c r="DC38" s="38">
        <f>AVERAGE(DB$6:DB38)</f>
        <v>4.6956521739130439</v>
      </c>
      <c r="DD38" s="32"/>
      <c r="DE38" s="9"/>
      <c r="DF38" s="32"/>
      <c r="DG38" s="9">
        <v>23</v>
      </c>
      <c r="DH38" s="7">
        <v>0.93076574773294851</v>
      </c>
      <c r="DI38" s="9">
        <f t="shared" si="12"/>
        <v>8</v>
      </c>
      <c r="DJ38" s="38">
        <f>AVERAGE(DI$6:DI38)</f>
        <v>4.5217391304347823</v>
      </c>
      <c r="DK38" s="32"/>
      <c r="DL38" s="9"/>
      <c r="DM38" s="32"/>
      <c r="DN38" s="9">
        <v>23</v>
      </c>
      <c r="DO38" s="7">
        <v>0.322097887925338</v>
      </c>
      <c r="DP38" s="9">
        <f t="shared" si="13"/>
        <v>4</v>
      </c>
      <c r="DQ38" s="38">
        <f>AVERAGE(DP$6:DP38)</f>
        <v>4.9130434782608692</v>
      </c>
      <c r="DR38" s="32"/>
      <c r="DS38" s="9"/>
      <c r="DT38" s="32"/>
      <c r="DU38" s="9">
        <v>23</v>
      </c>
      <c r="DV38" s="7">
        <v>0.41458436558605172</v>
      </c>
      <c r="DW38" s="9">
        <f t="shared" si="14"/>
        <v>4</v>
      </c>
      <c r="DX38" s="38">
        <f>AVERAGE(DW$6:DW38)</f>
        <v>4.5652173913043477</v>
      </c>
      <c r="DY38" s="32"/>
      <c r="DZ38" s="9"/>
      <c r="EA38" s="32"/>
      <c r="EB38" s="9">
        <v>23</v>
      </c>
      <c r="EC38" s="7">
        <v>2.8173652826808393E-2</v>
      </c>
      <c r="ED38" s="9">
        <f t="shared" si="15"/>
        <v>1</v>
      </c>
      <c r="EE38" s="38">
        <f>AVERAGE(ED$6:ED38)</f>
        <v>4.6521739130434785</v>
      </c>
      <c r="EF38" s="32"/>
      <c r="EG38" s="9"/>
      <c r="EH38" s="32"/>
      <c r="EI38" s="9">
        <v>23</v>
      </c>
      <c r="EJ38" s="7">
        <v>0.39736201395862736</v>
      </c>
      <c r="EK38" s="9">
        <f t="shared" si="16"/>
        <v>4</v>
      </c>
      <c r="EL38" s="38">
        <f>AVERAGE(EK$6:EK38)</f>
        <v>4.2173913043478262</v>
      </c>
      <c r="EM38" s="32"/>
      <c r="EN38" s="9"/>
      <c r="EO38" s="32"/>
      <c r="EP38" s="9">
        <v>23</v>
      </c>
      <c r="EQ38" s="7">
        <v>0.85462045832537115</v>
      </c>
      <c r="ER38" s="9">
        <f t="shared" si="17"/>
        <v>7</v>
      </c>
      <c r="ES38" s="38">
        <f>AVERAGE(ER$6:ER38)</f>
        <v>4.3913043478260869</v>
      </c>
      <c r="ET38" s="32"/>
    </row>
    <row r="39" spans="4:150" x14ac:dyDescent="0.25">
      <c r="E39" s="7">
        <f>SUM(E16:E38)</f>
        <v>0.99999999608573242</v>
      </c>
      <c r="L39" s="32"/>
      <c r="M39" s="9">
        <v>24</v>
      </c>
      <c r="N39" s="7">
        <v>0.4187069644976873</v>
      </c>
      <c r="O39" s="9">
        <f t="shared" si="21"/>
        <v>4</v>
      </c>
      <c r="P39" s="38">
        <f>AVERAGE(O$6:O39)</f>
        <v>4.958333333333333</v>
      </c>
      <c r="Q39" s="32"/>
      <c r="R39" s="9"/>
      <c r="S39" s="32"/>
      <c r="T39" s="9">
        <v>24</v>
      </c>
      <c r="U39" s="7">
        <v>5.673414803459309E-2</v>
      </c>
      <c r="V39" s="9">
        <f t="shared" si="0"/>
        <v>2</v>
      </c>
      <c r="W39" s="38">
        <f>AVERAGE(V$6:V39)</f>
        <v>4.166666666666667</v>
      </c>
      <c r="X39" s="32"/>
      <c r="Y39" s="9"/>
      <c r="Z39" s="32"/>
      <c r="AA39" s="9">
        <v>24</v>
      </c>
      <c r="AB39" s="7">
        <v>0.97258734857314266</v>
      </c>
      <c r="AC39" s="9">
        <f t="shared" si="1"/>
        <v>10</v>
      </c>
      <c r="AD39" s="38">
        <f>AVERAGE(AC$6:AC39)</f>
        <v>4.541666666666667</v>
      </c>
      <c r="AE39" s="32"/>
      <c r="AF39" s="9"/>
      <c r="AG39" s="32"/>
      <c r="AH39" s="9">
        <v>24</v>
      </c>
      <c r="AI39" s="7">
        <v>0.48091727841529064</v>
      </c>
      <c r="AJ39" s="9">
        <f t="shared" si="2"/>
        <v>5</v>
      </c>
      <c r="AK39" s="38">
        <f>AVERAGE(AJ$6:AJ39)</f>
        <v>5.083333333333333</v>
      </c>
      <c r="AL39" s="32"/>
      <c r="AM39" s="9"/>
      <c r="AN39" s="32"/>
      <c r="AO39" s="9">
        <v>24</v>
      </c>
      <c r="AP39" s="7">
        <v>0.77960562243242748</v>
      </c>
      <c r="AQ39" s="9">
        <f t="shared" si="3"/>
        <v>7</v>
      </c>
      <c r="AR39" s="38">
        <f>AVERAGE(AQ$6:AQ39)</f>
        <v>5.041666666666667</v>
      </c>
      <c r="AS39" s="32"/>
      <c r="AT39" s="9"/>
      <c r="AU39" s="32"/>
      <c r="AV39" s="9">
        <v>24</v>
      </c>
      <c r="AW39" s="7">
        <v>0.85670414610649459</v>
      </c>
      <c r="AX39" s="9">
        <f t="shared" si="4"/>
        <v>7</v>
      </c>
      <c r="AY39" s="38">
        <f>AVERAGE(AX$6:AX39)</f>
        <v>4.708333333333333</v>
      </c>
      <c r="AZ39" s="32"/>
      <c r="BA39" s="9"/>
      <c r="BB39" s="32"/>
      <c r="BC39" s="9">
        <v>24</v>
      </c>
      <c r="BD39" s="7">
        <v>0.50007420085603371</v>
      </c>
      <c r="BE39" s="9">
        <f t="shared" si="5"/>
        <v>5</v>
      </c>
      <c r="BF39" s="38">
        <f>AVERAGE(BE$6:BE39)</f>
        <v>4.875</v>
      </c>
      <c r="BG39" s="32"/>
      <c r="BH39" s="9"/>
      <c r="BI39" s="32"/>
      <c r="BJ39" s="9">
        <v>24</v>
      </c>
      <c r="BK39" s="7">
        <v>0.67361650420934893</v>
      </c>
      <c r="BL39" s="9">
        <f t="shared" si="6"/>
        <v>6</v>
      </c>
      <c r="BM39" s="38">
        <f>AVERAGE(BL$6:BL39)</f>
        <v>4.833333333333333</v>
      </c>
      <c r="BN39" s="32"/>
      <c r="BO39" s="9"/>
      <c r="BP39" s="32"/>
      <c r="BQ39" s="9">
        <v>24</v>
      </c>
      <c r="BR39" s="7">
        <v>0.4935630043328274</v>
      </c>
      <c r="BS39" s="9">
        <f t="shared" si="7"/>
        <v>5</v>
      </c>
      <c r="BT39" s="38">
        <f>AVERAGE(BS$6:BS39)</f>
        <v>4.625</v>
      </c>
      <c r="BU39" s="32"/>
      <c r="BV39" s="9"/>
      <c r="BW39" s="32"/>
      <c r="BX39" s="9">
        <v>24</v>
      </c>
      <c r="BY39" s="7">
        <v>0.17742314244969748</v>
      </c>
      <c r="BZ39" s="9">
        <f t="shared" si="8"/>
        <v>3</v>
      </c>
      <c r="CA39" s="38">
        <f>AVERAGE(BZ$6:BZ39)</f>
        <v>3.9583333333333335</v>
      </c>
      <c r="CB39" s="32"/>
      <c r="CC39" s="9"/>
      <c r="CD39" s="32"/>
      <c r="CE39" s="9">
        <v>24</v>
      </c>
      <c r="CF39" s="7">
        <v>7.2637268167454749E-3</v>
      </c>
      <c r="CG39" s="9">
        <f t="shared" si="22"/>
        <v>1</v>
      </c>
      <c r="CH39" s="38">
        <f>AVERAGE(CG$6:CG39)</f>
        <v>4.5</v>
      </c>
      <c r="CI39" s="32"/>
      <c r="CJ39" s="9"/>
      <c r="CK39" s="32"/>
      <c r="CL39" s="9">
        <v>24</v>
      </c>
      <c r="CM39" s="7">
        <v>4.826296801911667E-2</v>
      </c>
      <c r="CN39" s="9">
        <f t="shared" si="9"/>
        <v>2</v>
      </c>
      <c r="CO39" s="38">
        <f>AVERAGE(CN$6:CN39)</f>
        <v>4.583333333333333</v>
      </c>
      <c r="CP39" s="32"/>
      <c r="CQ39" s="9"/>
      <c r="CR39" s="32"/>
      <c r="CS39" s="9">
        <v>24</v>
      </c>
      <c r="CT39" s="7">
        <v>0.36869946401566267</v>
      </c>
      <c r="CU39" s="9">
        <f t="shared" si="10"/>
        <v>4</v>
      </c>
      <c r="CV39" s="38">
        <f>AVERAGE(CU$6:CU39)</f>
        <v>4.625</v>
      </c>
      <c r="CW39" s="32"/>
      <c r="CX39" s="9"/>
      <c r="CY39" s="32"/>
      <c r="CZ39" s="9">
        <v>24</v>
      </c>
      <c r="DA39" s="7">
        <v>0.3538112542591989</v>
      </c>
      <c r="DB39" s="9">
        <f t="shared" si="11"/>
        <v>4</v>
      </c>
      <c r="DC39" s="38">
        <f>AVERAGE(DB$6:DB39)</f>
        <v>4.666666666666667</v>
      </c>
      <c r="DD39" s="32"/>
      <c r="DE39" s="9"/>
      <c r="DF39" s="32"/>
      <c r="DG39" s="9">
        <v>24</v>
      </c>
      <c r="DH39" s="7">
        <v>0.34436008249758743</v>
      </c>
      <c r="DI39" s="9">
        <f t="shared" si="12"/>
        <v>4</v>
      </c>
      <c r="DJ39" s="38">
        <f>AVERAGE(DI$6:DI39)</f>
        <v>4.5</v>
      </c>
      <c r="DK39" s="32"/>
      <c r="DL39" s="9"/>
      <c r="DM39" s="32"/>
      <c r="DN39" s="9">
        <v>24</v>
      </c>
      <c r="DO39" s="7">
        <v>0.88041228157817386</v>
      </c>
      <c r="DP39" s="9">
        <f t="shared" si="13"/>
        <v>8</v>
      </c>
      <c r="DQ39" s="38">
        <f>AVERAGE(DP$6:DP39)</f>
        <v>5.041666666666667</v>
      </c>
      <c r="DR39" s="32"/>
      <c r="DS39" s="9"/>
      <c r="DT39" s="32"/>
      <c r="DU39" s="9">
        <v>24</v>
      </c>
      <c r="DV39" s="7">
        <v>0.51094827684573829</v>
      </c>
      <c r="DW39" s="9">
        <f t="shared" si="14"/>
        <v>5</v>
      </c>
      <c r="DX39" s="38">
        <f>AVERAGE(DW$6:DW39)</f>
        <v>4.583333333333333</v>
      </c>
      <c r="DY39" s="32"/>
      <c r="DZ39" s="9"/>
      <c r="EA39" s="32"/>
      <c r="EB39" s="9">
        <v>24</v>
      </c>
      <c r="EC39" s="7">
        <v>0.50943120583542623</v>
      </c>
      <c r="ED39" s="9">
        <f t="shared" si="15"/>
        <v>5</v>
      </c>
      <c r="EE39" s="38">
        <f>AVERAGE(ED$6:ED39)</f>
        <v>4.666666666666667</v>
      </c>
      <c r="EF39" s="32"/>
      <c r="EG39" s="9"/>
      <c r="EH39" s="32"/>
      <c r="EI39" s="9">
        <v>24</v>
      </c>
      <c r="EJ39" s="7">
        <v>0.64143718872219324</v>
      </c>
      <c r="EK39" s="9">
        <f t="shared" si="16"/>
        <v>6</v>
      </c>
      <c r="EL39" s="38">
        <f>AVERAGE(EK$6:EK39)</f>
        <v>4.291666666666667</v>
      </c>
      <c r="EM39" s="32"/>
      <c r="EN39" s="9"/>
      <c r="EO39" s="32"/>
      <c r="EP39" s="9">
        <v>24</v>
      </c>
      <c r="EQ39" s="7">
        <v>0.12953603759524412</v>
      </c>
      <c r="ER39" s="9">
        <f t="shared" si="17"/>
        <v>3</v>
      </c>
      <c r="ES39" s="38">
        <f>AVERAGE(ER$6:ER39)</f>
        <v>4.333333333333333</v>
      </c>
      <c r="ET39" s="32"/>
    </row>
    <row r="40" spans="4:150" x14ac:dyDescent="0.25">
      <c r="E40" s="7"/>
      <c r="L40" s="32">
        <v>4</v>
      </c>
      <c r="M40" s="9">
        <v>25</v>
      </c>
      <c r="N40" s="7">
        <v>0.6340867163380608</v>
      </c>
      <c r="O40" s="9">
        <f t="shared" si="21"/>
        <v>6</v>
      </c>
      <c r="P40" s="38">
        <f>AVERAGE(O$6:O40)</f>
        <v>5</v>
      </c>
      <c r="Q40" s="32">
        <f t="shared" ref="Q40" si="64">SUM(O40:O47)</f>
        <v>44</v>
      </c>
      <c r="R40" s="9"/>
      <c r="S40" s="32">
        <v>4</v>
      </c>
      <c r="T40" s="9">
        <v>25</v>
      </c>
      <c r="U40" s="7">
        <v>0.21808623784454539</v>
      </c>
      <c r="V40" s="9">
        <f t="shared" si="0"/>
        <v>3</v>
      </c>
      <c r="W40" s="38">
        <f>AVERAGE(V$6:V40)</f>
        <v>4.12</v>
      </c>
      <c r="X40" s="32">
        <f t="shared" ref="X40" si="65">SUM(V40:V47)</f>
        <v>33</v>
      </c>
      <c r="Y40" s="9"/>
      <c r="Z40" s="32">
        <v>4</v>
      </c>
      <c r="AA40" s="9">
        <v>25</v>
      </c>
      <c r="AB40" s="7">
        <v>0.88248451519757509</v>
      </c>
      <c r="AC40" s="9">
        <f t="shared" si="1"/>
        <v>8</v>
      </c>
      <c r="AD40" s="38">
        <f>AVERAGE(AC$6:AC40)</f>
        <v>4.68</v>
      </c>
      <c r="AE40" s="32">
        <f t="shared" ref="AE40" si="66">SUM(AC40:AC47)</f>
        <v>47</v>
      </c>
      <c r="AF40" s="9"/>
      <c r="AG40" s="32">
        <v>4</v>
      </c>
      <c r="AH40" s="9">
        <v>25</v>
      </c>
      <c r="AI40" s="7">
        <v>0.67239838390378281</v>
      </c>
      <c r="AJ40" s="9">
        <f t="shared" si="2"/>
        <v>6</v>
      </c>
      <c r="AK40" s="38">
        <f>AVERAGE(AJ$6:AJ40)</f>
        <v>5.12</v>
      </c>
      <c r="AL40" s="32">
        <f t="shared" ref="AL40" si="67">SUM(AJ40:AJ47)</f>
        <v>41</v>
      </c>
      <c r="AM40" s="9"/>
      <c r="AN40" s="32">
        <v>4</v>
      </c>
      <c r="AO40" s="9">
        <v>25</v>
      </c>
      <c r="AP40" s="7">
        <v>0.49689555272925645</v>
      </c>
      <c r="AQ40" s="9">
        <f t="shared" si="3"/>
        <v>5</v>
      </c>
      <c r="AR40" s="38">
        <f>AVERAGE(AQ$6:AQ40)</f>
        <v>5.04</v>
      </c>
      <c r="AS40" s="32">
        <f t="shared" ref="AS40" si="68">SUM(AQ40:AQ47)</f>
        <v>32</v>
      </c>
      <c r="AT40" s="9"/>
      <c r="AU40" s="32">
        <v>4</v>
      </c>
      <c r="AV40" s="9">
        <v>25</v>
      </c>
      <c r="AW40" s="7">
        <v>0.20263524487381801</v>
      </c>
      <c r="AX40" s="9">
        <f t="shared" si="4"/>
        <v>3</v>
      </c>
      <c r="AY40" s="38">
        <f>AVERAGE(AX$6:AX40)</f>
        <v>4.6399999999999997</v>
      </c>
      <c r="AZ40" s="32">
        <f t="shared" ref="AZ40" si="69">SUM(AX40:AX47)</f>
        <v>40</v>
      </c>
      <c r="BA40" s="9"/>
      <c r="BB40" s="32">
        <v>4</v>
      </c>
      <c r="BC40" s="9">
        <v>25</v>
      </c>
      <c r="BD40" s="7">
        <v>0.53821344088646583</v>
      </c>
      <c r="BE40" s="9">
        <f t="shared" si="5"/>
        <v>5</v>
      </c>
      <c r="BF40" s="38">
        <f>AVERAGE(BE$6:BE40)</f>
        <v>4.88</v>
      </c>
      <c r="BG40" s="32">
        <f t="shared" ref="BG40" si="70">SUM(BE40:BE47)</f>
        <v>37</v>
      </c>
      <c r="BH40" s="9"/>
      <c r="BI40" s="32">
        <v>4</v>
      </c>
      <c r="BJ40" s="9">
        <v>25</v>
      </c>
      <c r="BK40" s="7">
        <v>0.91249966784380376</v>
      </c>
      <c r="BL40" s="9">
        <f t="shared" si="6"/>
        <v>8</v>
      </c>
      <c r="BM40" s="38">
        <f>AVERAGE(BL$6:BL40)</f>
        <v>4.96</v>
      </c>
      <c r="BN40" s="32">
        <f t="shared" ref="BN40" si="71">SUM(BL40:BL47)</f>
        <v>46</v>
      </c>
      <c r="BO40" s="9"/>
      <c r="BP40" s="32">
        <v>4</v>
      </c>
      <c r="BQ40" s="9">
        <v>25</v>
      </c>
      <c r="BR40" s="7">
        <v>0.18494723143521696</v>
      </c>
      <c r="BS40" s="9">
        <f t="shared" si="7"/>
        <v>3</v>
      </c>
      <c r="BT40" s="38">
        <f>AVERAGE(BS$6:BS40)</f>
        <v>4.5599999999999996</v>
      </c>
      <c r="BU40" s="32">
        <f t="shared" ref="BU40" si="72">SUM(BS40:BS47)</f>
        <v>41</v>
      </c>
      <c r="BV40" s="9"/>
      <c r="BW40" s="32">
        <v>4</v>
      </c>
      <c r="BX40" s="9">
        <v>25</v>
      </c>
      <c r="BY40" s="7">
        <v>0.37291836162330583</v>
      </c>
      <c r="BZ40" s="9">
        <f t="shared" si="8"/>
        <v>4</v>
      </c>
      <c r="CA40" s="38">
        <f>AVERAGE(BZ$6:BZ40)</f>
        <v>3.96</v>
      </c>
      <c r="CB40" s="32">
        <f t="shared" ref="CB40" si="73">SUM(BZ40:BZ47)</f>
        <v>34</v>
      </c>
      <c r="CC40" s="9"/>
      <c r="CD40" s="32">
        <v>4</v>
      </c>
      <c r="CE40" s="9">
        <v>25</v>
      </c>
      <c r="CF40" s="7">
        <v>0.74081931065302342</v>
      </c>
      <c r="CG40" s="9">
        <f t="shared" si="22"/>
        <v>6</v>
      </c>
      <c r="CH40" s="38">
        <f>AVERAGE(CG$6:CG40)</f>
        <v>4.5599999999999996</v>
      </c>
      <c r="CI40" s="32">
        <f t="shared" ref="CI40" si="74">SUM(CG40:CG47)</f>
        <v>44</v>
      </c>
      <c r="CJ40" s="9"/>
      <c r="CK40" s="32">
        <v>4</v>
      </c>
      <c r="CL40" s="9">
        <v>25</v>
      </c>
      <c r="CM40" s="7">
        <v>0.85542852987418883</v>
      </c>
      <c r="CN40" s="9">
        <f t="shared" si="9"/>
        <v>7</v>
      </c>
      <c r="CO40" s="38">
        <f>AVERAGE(CN$6:CN40)</f>
        <v>4.68</v>
      </c>
      <c r="CP40" s="32">
        <f t="shared" ref="CP40" si="75">SUM(CN40:CN47)</f>
        <v>42</v>
      </c>
      <c r="CQ40" s="9"/>
      <c r="CR40" s="32">
        <v>4</v>
      </c>
      <c r="CS40" s="9">
        <v>25</v>
      </c>
      <c r="CT40" s="7">
        <v>0.88022396809537895</v>
      </c>
      <c r="CU40" s="9">
        <f t="shared" si="10"/>
        <v>8</v>
      </c>
      <c r="CV40" s="38">
        <f>AVERAGE(CU$6:CU40)</f>
        <v>4.76</v>
      </c>
      <c r="CW40" s="32">
        <f t="shared" ref="CW40" si="76">SUM(CU40:CU47)</f>
        <v>43</v>
      </c>
      <c r="CX40" s="9"/>
      <c r="CY40" s="32">
        <v>4</v>
      </c>
      <c r="CZ40" s="9">
        <v>25</v>
      </c>
      <c r="DA40" s="7">
        <v>0.21279594351653941</v>
      </c>
      <c r="DB40" s="9">
        <f t="shared" si="11"/>
        <v>3</v>
      </c>
      <c r="DC40" s="38">
        <f>AVERAGE(DB$6:DB40)</f>
        <v>4.5999999999999996</v>
      </c>
      <c r="DD40" s="32">
        <f t="shared" ref="DD40" si="77">SUM(DB40:DB47)</f>
        <v>35</v>
      </c>
      <c r="DE40" s="9"/>
      <c r="DF40" s="32">
        <v>4</v>
      </c>
      <c r="DG40" s="9">
        <v>25</v>
      </c>
      <c r="DH40" s="7">
        <v>0.34544248628662899</v>
      </c>
      <c r="DI40" s="9">
        <f t="shared" si="12"/>
        <v>4</v>
      </c>
      <c r="DJ40" s="38">
        <f>AVERAGE(DI$6:DI40)</f>
        <v>4.4800000000000004</v>
      </c>
      <c r="DK40" s="32">
        <f t="shared" ref="DK40" si="78">SUM(DI40:DI47)</f>
        <v>64</v>
      </c>
      <c r="DL40" s="9"/>
      <c r="DM40" s="32">
        <v>4</v>
      </c>
      <c r="DN40" s="9">
        <v>25</v>
      </c>
      <c r="DO40" s="7">
        <v>0.4123250127886422</v>
      </c>
      <c r="DP40" s="9">
        <f t="shared" si="13"/>
        <v>4</v>
      </c>
      <c r="DQ40" s="38">
        <f>AVERAGE(DP$6:DP40)</f>
        <v>5</v>
      </c>
      <c r="DR40" s="32">
        <f t="shared" ref="DR40" si="79">SUM(DP40:DP47)</f>
        <v>43</v>
      </c>
      <c r="DS40" s="9"/>
      <c r="DT40" s="32">
        <v>4</v>
      </c>
      <c r="DU40" s="9">
        <v>25</v>
      </c>
      <c r="DV40" s="7">
        <v>0.13836257558432408</v>
      </c>
      <c r="DW40" s="9">
        <f t="shared" si="14"/>
        <v>3</v>
      </c>
      <c r="DX40" s="38">
        <f>AVERAGE(DW$6:DW40)</f>
        <v>4.5199999999999996</v>
      </c>
      <c r="DY40" s="32">
        <f t="shared" ref="DY40" si="80">SUM(DW40:DW47)</f>
        <v>40</v>
      </c>
      <c r="DZ40" s="9"/>
      <c r="EA40" s="32">
        <v>4</v>
      </c>
      <c r="EB40" s="9">
        <v>25</v>
      </c>
      <c r="EC40" s="7">
        <v>0.35707100527361035</v>
      </c>
      <c r="ED40" s="9">
        <f t="shared" si="15"/>
        <v>4</v>
      </c>
      <c r="EE40" s="38">
        <f>AVERAGE(ED$6:ED40)</f>
        <v>4.6399999999999997</v>
      </c>
      <c r="EF40" s="32">
        <f t="shared" ref="EF40" si="81">SUM(ED40:ED47)</f>
        <v>37</v>
      </c>
      <c r="EG40" s="9"/>
      <c r="EH40" s="32">
        <v>4</v>
      </c>
      <c r="EI40" s="9">
        <v>25</v>
      </c>
      <c r="EJ40" s="7">
        <v>0.34015219195862301</v>
      </c>
      <c r="EK40" s="9">
        <f t="shared" si="16"/>
        <v>4</v>
      </c>
      <c r="EL40" s="38">
        <f>AVERAGE(EK$6:EK40)</f>
        <v>4.28</v>
      </c>
      <c r="EM40" s="32">
        <f t="shared" ref="EM40" si="82">SUM(EK40:EK47)</f>
        <v>43</v>
      </c>
      <c r="EN40" s="9"/>
      <c r="EO40" s="32">
        <v>4</v>
      </c>
      <c r="EP40" s="9">
        <v>25</v>
      </c>
      <c r="EQ40" s="7">
        <v>0.71105936157982796</v>
      </c>
      <c r="ER40" s="9">
        <f t="shared" si="17"/>
        <v>6</v>
      </c>
      <c r="ES40" s="38">
        <f>AVERAGE(ER$6:ER40)</f>
        <v>4.4000000000000004</v>
      </c>
      <c r="ET40" s="32">
        <f t="shared" ref="ET40" si="83">SUM(ER40:ER47)</f>
        <v>42</v>
      </c>
    </row>
    <row r="41" spans="4:150" x14ac:dyDescent="0.25">
      <c r="E41" s="7"/>
      <c r="L41" s="32"/>
      <c r="M41" s="9">
        <v>26</v>
      </c>
      <c r="N41" s="7">
        <v>0.5546589141304139</v>
      </c>
      <c r="O41" s="9">
        <f t="shared" si="21"/>
        <v>5</v>
      </c>
      <c r="P41" s="38">
        <f>AVERAGE(O$6:O41)</f>
        <v>5</v>
      </c>
      <c r="Q41" s="32"/>
      <c r="R41" s="9"/>
      <c r="S41" s="32"/>
      <c r="T41" s="9">
        <v>26</v>
      </c>
      <c r="U41" s="7">
        <v>0.31441248996998183</v>
      </c>
      <c r="V41" s="9">
        <f t="shared" si="0"/>
        <v>4</v>
      </c>
      <c r="W41" s="38">
        <f>AVERAGE(V$6:V41)</f>
        <v>4.115384615384615</v>
      </c>
      <c r="X41" s="32"/>
      <c r="Y41" s="9"/>
      <c r="Z41" s="32"/>
      <c r="AA41" s="9">
        <v>26</v>
      </c>
      <c r="AB41" s="7">
        <v>0.47952532678027637</v>
      </c>
      <c r="AC41" s="9">
        <f t="shared" si="1"/>
        <v>5</v>
      </c>
      <c r="AD41" s="38">
        <f>AVERAGE(AC$6:AC41)</f>
        <v>4.6923076923076925</v>
      </c>
      <c r="AE41" s="32"/>
      <c r="AF41" s="9"/>
      <c r="AG41" s="32"/>
      <c r="AH41" s="9">
        <v>26</v>
      </c>
      <c r="AI41" s="7">
        <v>0.28516771047725342</v>
      </c>
      <c r="AJ41" s="9">
        <f t="shared" si="2"/>
        <v>4</v>
      </c>
      <c r="AK41" s="38">
        <f>AVERAGE(AJ$6:AJ41)</f>
        <v>5.0769230769230766</v>
      </c>
      <c r="AL41" s="32"/>
      <c r="AM41" s="9"/>
      <c r="AN41" s="32"/>
      <c r="AO41" s="9">
        <v>26</v>
      </c>
      <c r="AP41" s="7">
        <v>0.90120965559617616</v>
      </c>
      <c r="AQ41" s="9">
        <f t="shared" si="3"/>
        <v>8</v>
      </c>
      <c r="AR41" s="38">
        <f>AVERAGE(AQ$6:AQ41)</f>
        <v>5.1538461538461542</v>
      </c>
      <c r="AS41" s="32"/>
      <c r="AT41" s="9"/>
      <c r="AU41" s="32"/>
      <c r="AV41" s="9">
        <v>26</v>
      </c>
      <c r="AW41" s="7">
        <v>0.35715111004537903</v>
      </c>
      <c r="AX41" s="9">
        <f t="shared" si="4"/>
        <v>4</v>
      </c>
      <c r="AY41" s="38">
        <f>AVERAGE(AX$6:AX41)</f>
        <v>4.615384615384615</v>
      </c>
      <c r="AZ41" s="32"/>
      <c r="BA41" s="9"/>
      <c r="BB41" s="32"/>
      <c r="BC41" s="9">
        <v>26</v>
      </c>
      <c r="BD41" s="7">
        <v>0.17992205655900761</v>
      </c>
      <c r="BE41" s="9">
        <f t="shared" si="5"/>
        <v>3</v>
      </c>
      <c r="BF41" s="38">
        <f>AVERAGE(BE$6:BE41)</f>
        <v>4.8076923076923075</v>
      </c>
      <c r="BG41" s="32"/>
      <c r="BH41" s="9"/>
      <c r="BI41" s="32"/>
      <c r="BJ41" s="9">
        <v>26</v>
      </c>
      <c r="BK41" s="7">
        <v>0.93732893958804198</v>
      </c>
      <c r="BL41" s="9">
        <f t="shared" si="6"/>
        <v>9</v>
      </c>
      <c r="BM41" s="38">
        <f>AVERAGE(BL$6:BL41)</f>
        <v>5.115384615384615</v>
      </c>
      <c r="BN41" s="32"/>
      <c r="BO41" s="9"/>
      <c r="BP41" s="32"/>
      <c r="BQ41" s="9">
        <v>26</v>
      </c>
      <c r="BR41" s="7">
        <v>0.24782418916583993</v>
      </c>
      <c r="BS41" s="9">
        <f t="shared" si="7"/>
        <v>3</v>
      </c>
      <c r="BT41" s="38">
        <f>AVERAGE(BS$6:BS41)</f>
        <v>4.5</v>
      </c>
      <c r="BU41" s="32"/>
      <c r="BV41" s="9"/>
      <c r="BW41" s="32"/>
      <c r="BX41" s="9">
        <v>26</v>
      </c>
      <c r="BY41" s="7">
        <v>5.2956236031604931E-2</v>
      </c>
      <c r="BZ41" s="9">
        <f t="shared" si="8"/>
        <v>2</v>
      </c>
      <c r="CA41" s="38">
        <f>AVERAGE(BZ$6:BZ41)</f>
        <v>3.8846153846153846</v>
      </c>
      <c r="CB41" s="32"/>
      <c r="CC41" s="9"/>
      <c r="CD41" s="32"/>
      <c r="CE41" s="9">
        <v>26</v>
      </c>
      <c r="CF41" s="7">
        <v>0.52194498633616604</v>
      </c>
      <c r="CG41" s="9">
        <f t="shared" si="22"/>
        <v>5</v>
      </c>
      <c r="CH41" s="38">
        <f>AVERAGE(CG$6:CG41)</f>
        <v>4.5769230769230766</v>
      </c>
      <c r="CI41" s="32"/>
      <c r="CJ41" s="9"/>
      <c r="CK41" s="32"/>
      <c r="CL41" s="9">
        <v>26</v>
      </c>
      <c r="CM41" s="7">
        <v>0.54569288523634896</v>
      </c>
      <c r="CN41" s="9">
        <f t="shared" si="9"/>
        <v>5</v>
      </c>
      <c r="CO41" s="38">
        <f>AVERAGE(CN$6:CN41)</f>
        <v>4.6923076923076925</v>
      </c>
      <c r="CP41" s="32"/>
      <c r="CQ41" s="9"/>
      <c r="CR41" s="32"/>
      <c r="CS41" s="9">
        <v>26</v>
      </c>
      <c r="CT41" s="7">
        <v>0.3153435691492632</v>
      </c>
      <c r="CU41" s="9">
        <f t="shared" si="10"/>
        <v>4</v>
      </c>
      <c r="CV41" s="38">
        <f>AVERAGE(CU$6:CU41)</f>
        <v>4.7307692307692308</v>
      </c>
      <c r="CW41" s="32"/>
      <c r="CX41" s="9"/>
      <c r="CY41" s="32"/>
      <c r="CZ41" s="9">
        <v>26</v>
      </c>
      <c r="DA41" s="7">
        <v>0.58991091104689986</v>
      </c>
      <c r="DB41" s="9">
        <f t="shared" si="11"/>
        <v>5</v>
      </c>
      <c r="DC41" s="38">
        <f>AVERAGE(DB$6:DB41)</f>
        <v>4.615384615384615</v>
      </c>
      <c r="DD41" s="32"/>
      <c r="DE41" s="9"/>
      <c r="DF41" s="32"/>
      <c r="DG41" s="9">
        <v>26</v>
      </c>
      <c r="DH41" s="7">
        <v>0.90288043764303438</v>
      </c>
      <c r="DI41" s="9">
        <f t="shared" si="12"/>
        <v>8</v>
      </c>
      <c r="DJ41" s="38">
        <f>AVERAGE(DI$6:DI41)</f>
        <v>4.615384615384615</v>
      </c>
      <c r="DK41" s="32"/>
      <c r="DL41" s="9"/>
      <c r="DM41" s="32"/>
      <c r="DN41" s="9">
        <v>26</v>
      </c>
      <c r="DO41" s="7">
        <v>0.34738158617983572</v>
      </c>
      <c r="DP41" s="9">
        <f t="shared" si="13"/>
        <v>4</v>
      </c>
      <c r="DQ41" s="38">
        <f>AVERAGE(DP$6:DP41)</f>
        <v>4.9615384615384617</v>
      </c>
      <c r="DR41" s="32"/>
      <c r="DS41" s="9"/>
      <c r="DT41" s="32"/>
      <c r="DU41" s="9">
        <v>26</v>
      </c>
      <c r="DV41" s="7">
        <v>0.25672642595600337</v>
      </c>
      <c r="DW41" s="9">
        <f t="shared" si="14"/>
        <v>3</v>
      </c>
      <c r="DX41" s="38">
        <f>AVERAGE(DW$6:DW41)</f>
        <v>4.4615384615384617</v>
      </c>
      <c r="DY41" s="32"/>
      <c r="DZ41" s="9"/>
      <c r="EA41" s="32"/>
      <c r="EB41" s="9">
        <v>26</v>
      </c>
      <c r="EC41" s="7">
        <v>0.89156771593843587</v>
      </c>
      <c r="ED41" s="9">
        <f t="shared" si="15"/>
        <v>8</v>
      </c>
      <c r="EE41" s="38">
        <f>AVERAGE(ED$6:ED41)</f>
        <v>4.7692307692307692</v>
      </c>
      <c r="EF41" s="32"/>
      <c r="EG41" s="9"/>
      <c r="EH41" s="32"/>
      <c r="EI41" s="9">
        <v>26</v>
      </c>
      <c r="EJ41" s="7">
        <v>0.1783788587199524</v>
      </c>
      <c r="EK41" s="9">
        <f t="shared" si="16"/>
        <v>3</v>
      </c>
      <c r="EL41" s="38">
        <f>AVERAGE(EK$6:EK41)</f>
        <v>4.2307692307692308</v>
      </c>
      <c r="EM41" s="32"/>
      <c r="EN41" s="9"/>
      <c r="EO41" s="32"/>
      <c r="EP41" s="9">
        <v>26</v>
      </c>
      <c r="EQ41" s="7">
        <v>0.19557121364050545</v>
      </c>
      <c r="ER41" s="9">
        <f t="shared" si="17"/>
        <v>3</v>
      </c>
      <c r="ES41" s="38">
        <f>AVERAGE(ER$6:ER41)</f>
        <v>4.3461538461538458</v>
      </c>
      <c r="ET41" s="32"/>
    </row>
    <row r="42" spans="4:150" x14ac:dyDescent="0.25">
      <c r="E42" s="7"/>
      <c r="L42" s="32"/>
      <c r="M42" s="9">
        <v>27</v>
      </c>
      <c r="N42" s="7">
        <v>0.6493407771922648</v>
      </c>
      <c r="O42" s="9">
        <f t="shared" si="21"/>
        <v>6</v>
      </c>
      <c r="P42" s="38">
        <f>AVERAGE(O$6:O42)</f>
        <v>5.0370370370370372</v>
      </c>
      <c r="Q42" s="32"/>
      <c r="R42" s="9"/>
      <c r="S42" s="32"/>
      <c r="T42" s="9">
        <v>27</v>
      </c>
      <c r="U42" s="7">
        <v>0.92243233456974849</v>
      </c>
      <c r="V42" s="9">
        <f t="shared" si="0"/>
        <v>8</v>
      </c>
      <c r="W42" s="38">
        <f>AVERAGE(V$6:V42)</f>
        <v>4.2592592592592595</v>
      </c>
      <c r="X42" s="32"/>
      <c r="Y42" s="9"/>
      <c r="Z42" s="32"/>
      <c r="AA42" s="9">
        <v>27</v>
      </c>
      <c r="AB42" s="7">
        <v>0.95554329187143594</v>
      </c>
      <c r="AC42" s="9">
        <f t="shared" si="1"/>
        <v>9</v>
      </c>
      <c r="AD42" s="38">
        <f>AVERAGE(AC$6:AC42)</f>
        <v>4.8518518518518521</v>
      </c>
      <c r="AE42" s="32"/>
      <c r="AF42" s="9"/>
      <c r="AG42" s="32"/>
      <c r="AH42" s="9">
        <v>27</v>
      </c>
      <c r="AI42" s="7">
        <v>0.86137089581461623</v>
      </c>
      <c r="AJ42" s="9">
        <f t="shared" si="2"/>
        <v>7</v>
      </c>
      <c r="AK42" s="38">
        <f>AVERAGE(AJ$6:AJ42)</f>
        <v>5.1481481481481479</v>
      </c>
      <c r="AL42" s="32"/>
      <c r="AM42" s="9"/>
      <c r="AN42" s="32"/>
      <c r="AO42" s="9">
        <v>27</v>
      </c>
      <c r="AP42" s="7">
        <v>0.12297263205982745</v>
      </c>
      <c r="AQ42" s="9">
        <f t="shared" si="3"/>
        <v>2</v>
      </c>
      <c r="AR42" s="38">
        <f>AVERAGE(AQ$6:AQ42)</f>
        <v>5.0370370370370372</v>
      </c>
      <c r="AS42" s="32"/>
      <c r="AT42" s="9"/>
      <c r="AU42" s="32"/>
      <c r="AV42" s="9">
        <v>27</v>
      </c>
      <c r="AW42" s="7">
        <v>0.93282167339930311</v>
      </c>
      <c r="AX42" s="9">
        <f t="shared" si="4"/>
        <v>9</v>
      </c>
      <c r="AY42" s="38">
        <f>AVERAGE(AX$6:AX42)</f>
        <v>4.7777777777777777</v>
      </c>
      <c r="AZ42" s="32"/>
      <c r="BA42" s="9"/>
      <c r="BB42" s="32"/>
      <c r="BC42" s="9">
        <v>27</v>
      </c>
      <c r="BD42" s="7">
        <v>0.65985912791802548</v>
      </c>
      <c r="BE42" s="9">
        <f t="shared" si="5"/>
        <v>6</v>
      </c>
      <c r="BF42" s="38">
        <f>AVERAGE(BE$6:BE42)</f>
        <v>4.8518518518518521</v>
      </c>
      <c r="BG42" s="32"/>
      <c r="BH42" s="9"/>
      <c r="BI42" s="32"/>
      <c r="BJ42" s="9">
        <v>27</v>
      </c>
      <c r="BK42" s="7">
        <v>0.72440388787072152</v>
      </c>
      <c r="BL42" s="9">
        <f t="shared" si="6"/>
        <v>6</v>
      </c>
      <c r="BM42" s="38">
        <f>AVERAGE(BL$6:BL42)</f>
        <v>5.1481481481481479</v>
      </c>
      <c r="BN42" s="32"/>
      <c r="BO42" s="9"/>
      <c r="BP42" s="32"/>
      <c r="BQ42" s="9">
        <v>27</v>
      </c>
      <c r="BR42" s="7">
        <v>0.62945742043666542</v>
      </c>
      <c r="BS42" s="9">
        <f t="shared" si="7"/>
        <v>6</v>
      </c>
      <c r="BT42" s="38">
        <f>AVERAGE(BS$6:BS42)</f>
        <v>4.5555555555555554</v>
      </c>
      <c r="BU42" s="32"/>
      <c r="BV42" s="9"/>
      <c r="BW42" s="32"/>
      <c r="BX42" s="9">
        <v>27</v>
      </c>
      <c r="BY42" s="7">
        <v>0.27246155630564317</v>
      </c>
      <c r="BZ42" s="9">
        <f t="shared" si="8"/>
        <v>4</v>
      </c>
      <c r="CA42" s="38">
        <f>AVERAGE(BZ$6:BZ42)</f>
        <v>3.8888888888888888</v>
      </c>
      <c r="CB42" s="32"/>
      <c r="CC42" s="9"/>
      <c r="CD42" s="32"/>
      <c r="CE42" s="9">
        <v>27</v>
      </c>
      <c r="CF42" s="7">
        <v>0.80166796315461397</v>
      </c>
      <c r="CG42" s="9">
        <f t="shared" si="22"/>
        <v>7</v>
      </c>
      <c r="CH42" s="38">
        <f>AVERAGE(CG$6:CG42)</f>
        <v>4.666666666666667</v>
      </c>
      <c r="CI42" s="32"/>
      <c r="CJ42" s="9"/>
      <c r="CK42" s="32"/>
      <c r="CL42" s="9">
        <v>27</v>
      </c>
      <c r="CM42" s="7">
        <v>3.1835896748816594E-2</v>
      </c>
      <c r="CN42" s="9">
        <f t="shared" si="9"/>
        <v>1</v>
      </c>
      <c r="CO42" s="38">
        <f>AVERAGE(CN$6:CN42)</f>
        <v>4.5555555555555554</v>
      </c>
      <c r="CP42" s="32"/>
      <c r="CQ42" s="9"/>
      <c r="CR42" s="32"/>
      <c r="CS42" s="9">
        <v>27</v>
      </c>
      <c r="CT42" s="7">
        <v>0.40193811189965345</v>
      </c>
      <c r="CU42" s="9">
        <f t="shared" si="10"/>
        <v>4</v>
      </c>
      <c r="CV42" s="38">
        <f>AVERAGE(CU$6:CU42)</f>
        <v>4.7037037037037033</v>
      </c>
      <c r="CW42" s="32"/>
      <c r="CX42" s="9"/>
      <c r="CY42" s="32"/>
      <c r="CZ42" s="9">
        <v>27</v>
      </c>
      <c r="DA42" s="7">
        <v>0.80411918918252923</v>
      </c>
      <c r="DB42" s="9">
        <f t="shared" si="11"/>
        <v>7</v>
      </c>
      <c r="DC42" s="38">
        <f>AVERAGE(DB$6:DB42)</f>
        <v>4.7037037037037033</v>
      </c>
      <c r="DD42" s="32"/>
      <c r="DE42" s="9"/>
      <c r="DF42" s="32"/>
      <c r="DG42" s="9">
        <v>27</v>
      </c>
      <c r="DH42" s="7">
        <v>0.98342538619181141</v>
      </c>
      <c r="DI42" s="9">
        <f t="shared" si="12"/>
        <v>10</v>
      </c>
      <c r="DJ42" s="38">
        <f>AVERAGE(DI$6:DI42)</f>
        <v>4.8148148148148149</v>
      </c>
      <c r="DK42" s="32"/>
      <c r="DL42" s="9"/>
      <c r="DM42" s="32"/>
      <c r="DN42" s="9">
        <v>27</v>
      </c>
      <c r="DO42" s="7">
        <v>0.90151688264450058</v>
      </c>
      <c r="DP42" s="9">
        <f t="shared" si="13"/>
        <v>8</v>
      </c>
      <c r="DQ42" s="38">
        <f>AVERAGE(DP$6:DP42)</f>
        <v>5.0740740740740744</v>
      </c>
      <c r="DR42" s="32"/>
      <c r="DS42" s="9"/>
      <c r="DT42" s="32"/>
      <c r="DU42" s="9">
        <v>27</v>
      </c>
      <c r="DV42" s="7">
        <v>0.2141093673708383</v>
      </c>
      <c r="DW42" s="9">
        <f t="shared" si="14"/>
        <v>3</v>
      </c>
      <c r="DX42" s="38">
        <f>AVERAGE(DW$6:DW42)</f>
        <v>4.4074074074074074</v>
      </c>
      <c r="DY42" s="32"/>
      <c r="DZ42" s="9"/>
      <c r="EA42" s="32"/>
      <c r="EB42" s="9">
        <v>27</v>
      </c>
      <c r="EC42" s="7">
        <v>0.15737370832357556</v>
      </c>
      <c r="ED42" s="9">
        <f t="shared" si="15"/>
        <v>3</v>
      </c>
      <c r="EE42" s="38">
        <f>AVERAGE(ED$6:ED42)</f>
        <v>4.7037037037037033</v>
      </c>
      <c r="EF42" s="32"/>
      <c r="EG42" s="9"/>
      <c r="EH42" s="32"/>
      <c r="EI42" s="9">
        <v>27</v>
      </c>
      <c r="EJ42" s="7">
        <v>0.86511224080459215</v>
      </c>
      <c r="EK42" s="9">
        <f t="shared" si="16"/>
        <v>7</v>
      </c>
      <c r="EL42" s="38">
        <f>AVERAGE(EK$6:EK42)</f>
        <v>4.333333333333333</v>
      </c>
      <c r="EM42" s="32"/>
      <c r="EN42" s="9"/>
      <c r="EO42" s="32"/>
      <c r="EP42" s="9">
        <v>27</v>
      </c>
      <c r="EQ42" s="7">
        <v>0.71917502488940954</v>
      </c>
      <c r="ER42" s="9">
        <f t="shared" si="17"/>
        <v>6</v>
      </c>
      <c r="ES42" s="38">
        <f>AVERAGE(ER$6:ER42)</f>
        <v>4.4074074074074074</v>
      </c>
      <c r="ET42" s="32"/>
    </row>
    <row r="43" spans="4:150" x14ac:dyDescent="0.25">
      <c r="E43" s="7"/>
      <c r="L43" s="32"/>
      <c r="M43" s="9">
        <v>28</v>
      </c>
      <c r="N43" s="7">
        <v>0.41050025404547341</v>
      </c>
      <c r="O43" s="9">
        <f t="shared" si="21"/>
        <v>4</v>
      </c>
      <c r="P43" s="38">
        <f>AVERAGE(O$6:O43)</f>
        <v>5</v>
      </c>
      <c r="Q43" s="32"/>
      <c r="R43" s="9"/>
      <c r="S43" s="32"/>
      <c r="T43" s="9">
        <v>28</v>
      </c>
      <c r="U43" s="7">
        <v>5.2652303449576721E-2</v>
      </c>
      <c r="V43" s="9">
        <f t="shared" si="0"/>
        <v>2</v>
      </c>
      <c r="W43" s="38">
        <f>AVERAGE(V$6:V43)</f>
        <v>4.1785714285714288</v>
      </c>
      <c r="X43" s="32"/>
      <c r="Y43" s="9"/>
      <c r="Z43" s="32"/>
      <c r="AA43" s="9">
        <v>28</v>
      </c>
      <c r="AB43" s="7">
        <v>0.10479531381861307</v>
      </c>
      <c r="AC43" s="9">
        <f t="shared" si="1"/>
        <v>2</v>
      </c>
      <c r="AD43" s="38">
        <f>AVERAGE(AC$6:AC43)</f>
        <v>4.75</v>
      </c>
      <c r="AE43" s="32"/>
      <c r="AF43" s="9"/>
      <c r="AG43" s="32"/>
      <c r="AH43" s="9">
        <v>28</v>
      </c>
      <c r="AI43" s="7">
        <v>0.60601134455646388</v>
      </c>
      <c r="AJ43" s="9">
        <f t="shared" si="2"/>
        <v>5</v>
      </c>
      <c r="AK43" s="38">
        <f>AVERAGE(AJ$6:AJ43)</f>
        <v>5.1428571428571432</v>
      </c>
      <c r="AL43" s="32"/>
      <c r="AM43" s="9"/>
      <c r="AN43" s="32"/>
      <c r="AO43" s="9">
        <v>28</v>
      </c>
      <c r="AP43" s="7">
        <v>0.330905510840239</v>
      </c>
      <c r="AQ43" s="9">
        <f t="shared" si="3"/>
        <v>4</v>
      </c>
      <c r="AR43" s="38">
        <f>AVERAGE(AQ$6:AQ43)</f>
        <v>5</v>
      </c>
      <c r="AS43" s="32"/>
      <c r="AT43" s="9"/>
      <c r="AU43" s="32"/>
      <c r="AV43" s="9">
        <v>28</v>
      </c>
      <c r="AW43" s="7">
        <v>0.40316180067020468</v>
      </c>
      <c r="AX43" s="9">
        <f t="shared" si="4"/>
        <v>4</v>
      </c>
      <c r="AY43" s="38">
        <f>AVERAGE(AX$6:AX43)</f>
        <v>4.75</v>
      </c>
      <c r="AZ43" s="32"/>
      <c r="BA43" s="9"/>
      <c r="BB43" s="32"/>
      <c r="BC43" s="9">
        <v>28</v>
      </c>
      <c r="BD43" s="7">
        <v>0.82745087781222537</v>
      </c>
      <c r="BE43" s="9">
        <f t="shared" si="5"/>
        <v>7</v>
      </c>
      <c r="BF43" s="38">
        <f>AVERAGE(BE$6:BE43)</f>
        <v>4.9285714285714288</v>
      </c>
      <c r="BG43" s="32"/>
      <c r="BH43" s="9"/>
      <c r="BI43" s="32"/>
      <c r="BJ43" s="9">
        <v>28</v>
      </c>
      <c r="BK43" s="7">
        <v>6.8002253450686112E-2</v>
      </c>
      <c r="BL43" s="9">
        <f t="shared" si="6"/>
        <v>2</v>
      </c>
      <c r="BM43" s="38">
        <f>AVERAGE(BL$6:BL43)</f>
        <v>5.0357142857142856</v>
      </c>
      <c r="BN43" s="32"/>
      <c r="BO43" s="9"/>
      <c r="BP43" s="32"/>
      <c r="BQ43" s="9">
        <v>28</v>
      </c>
      <c r="BR43" s="7">
        <v>0.17057152491179295</v>
      </c>
      <c r="BS43" s="9">
        <f t="shared" si="7"/>
        <v>3</v>
      </c>
      <c r="BT43" s="38">
        <f>AVERAGE(BS$6:BS43)</f>
        <v>4.5</v>
      </c>
      <c r="BU43" s="32"/>
      <c r="BV43" s="9"/>
      <c r="BW43" s="32"/>
      <c r="BX43" s="9">
        <v>28</v>
      </c>
      <c r="BY43" s="7">
        <v>0.31770149743533693</v>
      </c>
      <c r="BZ43" s="9">
        <f t="shared" si="8"/>
        <v>4</v>
      </c>
      <c r="CA43" s="38">
        <f>AVERAGE(BZ$6:BZ43)</f>
        <v>3.8928571428571428</v>
      </c>
      <c r="CB43" s="32"/>
      <c r="CC43" s="9"/>
      <c r="CD43" s="32"/>
      <c r="CE43" s="9">
        <v>28</v>
      </c>
      <c r="CF43" s="7">
        <v>0.85900102465529926</v>
      </c>
      <c r="CG43" s="9">
        <f t="shared" si="22"/>
        <v>7</v>
      </c>
      <c r="CH43" s="38">
        <f>AVERAGE(CG$6:CG43)</f>
        <v>4.75</v>
      </c>
      <c r="CI43" s="32"/>
      <c r="CJ43" s="9"/>
      <c r="CK43" s="32"/>
      <c r="CL43" s="9">
        <v>28</v>
      </c>
      <c r="CM43" s="7">
        <v>0.39548682566964999</v>
      </c>
      <c r="CN43" s="9">
        <f t="shared" si="9"/>
        <v>4</v>
      </c>
      <c r="CO43" s="38">
        <f>AVERAGE(CN$6:CN43)</f>
        <v>4.5357142857142856</v>
      </c>
      <c r="CP43" s="32"/>
      <c r="CQ43" s="9"/>
      <c r="CR43" s="32"/>
      <c r="CS43" s="9">
        <v>28</v>
      </c>
      <c r="CT43" s="7">
        <v>0.9981276283506304</v>
      </c>
      <c r="CU43" s="9">
        <f t="shared" si="10"/>
        <v>13</v>
      </c>
      <c r="CV43" s="38">
        <f>AVERAGE(CU$6:CU43)</f>
        <v>5</v>
      </c>
      <c r="CW43" s="32"/>
      <c r="CX43" s="9"/>
      <c r="CY43" s="32"/>
      <c r="CZ43" s="9">
        <v>28</v>
      </c>
      <c r="DA43" s="7">
        <v>0.12138242903165519</v>
      </c>
      <c r="DB43" s="9">
        <f t="shared" si="11"/>
        <v>2</v>
      </c>
      <c r="DC43" s="38">
        <f>AVERAGE(DB$6:DB43)</f>
        <v>4.6071428571428568</v>
      </c>
      <c r="DD43" s="32"/>
      <c r="DE43" s="9"/>
      <c r="DF43" s="32"/>
      <c r="DG43" s="9">
        <v>28</v>
      </c>
      <c r="DH43" s="7">
        <v>0.46407388881198131</v>
      </c>
      <c r="DI43" s="9">
        <f t="shared" si="12"/>
        <v>5</v>
      </c>
      <c r="DJ43" s="38">
        <f>AVERAGE(DI$6:DI43)</f>
        <v>4.8214285714285712</v>
      </c>
      <c r="DK43" s="32"/>
      <c r="DL43" s="9"/>
      <c r="DM43" s="32"/>
      <c r="DN43" s="9">
        <v>28</v>
      </c>
      <c r="DO43" s="7">
        <v>0.28119456194690429</v>
      </c>
      <c r="DP43" s="9">
        <f t="shared" si="13"/>
        <v>4</v>
      </c>
      <c r="DQ43" s="38">
        <f>AVERAGE(DP$6:DP43)</f>
        <v>5.0357142857142856</v>
      </c>
      <c r="DR43" s="32"/>
      <c r="DS43" s="9"/>
      <c r="DT43" s="32"/>
      <c r="DU43" s="9">
        <v>28</v>
      </c>
      <c r="DV43" s="7">
        <v>0.26632419601082802</v>
      </c>
      <c r="DW43" s="9">
        <f t="shared" si="14"/>
        <v>4</v>
      </c>
      <c r="DX43" s="38">
        <f>AVERAGE(DW$6:DW43)</f>
        <v>4.3928571428571432</v>
      </c>
      <c r="DY43" s="32"/>
      <c r="DZ43" s="9"/>
      <c r="EA43" s="32"/>
      <c r="EB43" s="9">
        <v>28</v>
      </c>
      <c r="EC43" s="7">
        <v>4.7459786670515314E-2</v>
      </c>
      <c r="ED43" s="9">
        <f t="shared" si="15"/>
        <v>2</v>
      </c>
      <c r="EE43" s="38">
        <f>AVERAGE(ED$6:ED43)</f>
        <v>4.6071428571428568</v>
      </c>
      <c r="EF43" s="32"/>
      <c r="EG43" s="9"/>
      <c r="EH43" s="32"/>
      <c r="EI43" s="9">
        <v>28</v>
      </c>
      <c r="EJ43" s="7">
        <v>0.53280401439405978</v>
      </c>
      <c r="EK43" s="9">
        <f t="shared" si="16"/>
        <v>5</v>
      </c>
      <c r="EL43" s="38">
        <f>AVERAGE(EK$6:EK43)</f>
        <v>4.3571428571428568</v>
      </c>
      <c r="EM43" s="32"/>
      <c r="EN43" s="9"/>
      <c r="EO43" s="32"/>
      <c r="EP43" s="9">
        <v>28</v>
      </c>
      <c r="EQ43" s="7">
        <v>0.375137818075018</v>
      </c>
      <c r="ER43" s="9">
        <f t="shared" si="17"/>
        <v>4</v>
      </c>
      <c r="ES43" s="38">
        <f>AVERAGE(ER$6:ER43)</f>
        <v>4.3928571428571432</v>
      </c>
      <c r="ET43" s="32"/>
    </row>
    <row r="44" spans="4:150" x14ac:dyDescent="0.25">
      <c r="E44" s="7"/>
      <c r="L44" s="32"/>
      <c r="M44" s="9">
        <v>29</v>
      </c>
      <c r="N44" s="7">
        <v>0.40763083344791085</v>
      </c>
      <c r="O44" s="9">
        <f t="shared" si="21"/>
        <v>4</v>
      </c>
      <c r="P44" s="38">
        <f>AVERAGE(O$6:O44)</f>
        <v>4.9655172413793105</v>
      </c>
      <c r="Q44" s="32"/>
      <c r="R44" s="9"/>
      <c r="S44" s="32"/>
      <c r="T44" s="9">
        <v>29</v>
      </c>
      <c r="U44" s="7">
        <v>0.11593627656111494</v>
      </c>
      <c r="V44" s="9">
        <f t="shared" si="0"/>
        <v>2</v>
      </c>
      <c r="W44" s="38">
        <f>AVERAGE(V$6:V44)</f>
        <v>4.1034482758620694</v>
      </c>
      <c r="X44" s="32"/>
      <c r="Y44" s="9"/>
      <c r="Z44" s="32"/>
      <c r="AA44" s="9">
        <v>29</v>
      </c>
      <c r="AB44" s="7">
        <v>0.96958661661483347</v>
      </c>
      <c r="AC44" s="9">
        <f t="shared" si="1"/>
        <v>10</v>
      </c>
      <c r="AD44" s="38">
        <f>AVERAGE(AC$6:AC44)</f>
        <v>4.931034482758621</v>
      </c>
      <c r="AE44" s="32"/>
      <c r="AF44" s="9"/>
      <c r="AG44" s="32"/>
      <c r="AH44" s="9">
        <v>29</v>
      </c>
      <c r="AI44" s="7">
        <v>9.5842446608003229E-2</v>
      </c>
      <c r="AJ44" s="9">
        <f t="shared" si="2"/>
        <v>2</v>
      </c>
      <c r="AK44" s="38">
        <f>AVERAGE(AJ$6:AJ44)</f>
        <v>5.0344827586206895</v>
      </c>
      <c r="AL44" s="32"/>
      <c r="AM44" s="9"/>
      <c r="AN44" s="32"/>
      <c r="AO44" s="9">
        <v>29</v>
      </c>
      <c r="AP44" s="7">
        <v>0.41633808275219053</v>
      </c>
      <c r="AQ44" s="9">
        <f t="shared" si="3"/>
        <v>4</v>
      </c>
      <c r="AR44" s="38">
        <f>AVERAGE(AQ$6:AQ44)</f>
        <v>4.9655172413793105</v>
      </c>
      <c r="AS44" s="32"/>
      <c r="AT44" s="9"/>
      <c r="AU44" s="32"/>
      <c r="AV44" s="9">
        <v>29</v>
      </c>
      <c r="AW44" s="7">
        <v>0.62832734518451616</v>
      </c>
      <c r="AX44" s="9">
        <f t="shared" si="4"/>
        <v>6</v>
      </c>
      <c r="AY44" s="38">
        <f>AVERAGE(AX$6:AX44)</f>
        <v>4.7931034482758621</v>
      </c>
      <c r="AZ44" s="32"/>
      <c r="BA44" s="9"/>
      <c r="BB44" s="32"/>
      <c r="BC44" s="9">
        <v>29</v>
      </c>
      <c r="BD44" s="7">
        <v>0.1372020733251702</v>
      </c>
      <c r="BE44" s="9">
        <f t="shared" si="5"/>
        <v>3</v>
      </c>
      <c r="BF44" s="38">
        <f>AVERAGE(BE$6:BE44)</f>
        <v>4.8620689655172411</v>
      </c>
      <c r="BG44" s="32"/>
      <c r="BH44" s="9"/>
      <c r="BI44" s="32"/>
      <c r="BJ44" s="9">
        <v>29</v>
      </c>
      <c r="BK44" s="7">
        <v>2.1160527132451534E-2</v>
      </c>
      <c r="BL44" s="9">
        <f t="shared" si="6"/>
        <v>1</v>
      </c>
      <c r="BM44" s="38">
        <f>AVERAGE(BL$6:BL44)</f>
        <v>4.8965517241379306</v>
      </c>
      <c r="BN44" s="32"/>
      <c r="BO44" s="9"/>
      <c r="BP44" s="32"/>
      <c r="BQ44" s="9">
        <v>29</v>
      </c>
      <c r="BR44" s="7">
        <v>0.84433532960247248</v>
      </c>
      <c r="BS44" s="9">
        <f t="shared" si="7"/>
        <v>7</v>
      </c>
      <c r="BT44" s="38">
        <f>AVERAGE(BS$6:BS44)</f>
        <v>4.5862068965517242</v>
      </c>
      <c r="BU44" s="32"/>
      <c r="BV44" s="9"/>
      <c r="BW44" s="32"/>
      <c r="BX44" s="9">
        <v>29</v>
      </c>
      <c r="BY44" s="7">
        <v>0.61627117922762409</v>
      </c>
      <c r="BZ44" s="9">
        <f t="shared" si="8"/>
        <v>6</v>
      </c>
      <c r="CA44" s="38">
        <f>AVERAGE(BZ$6:BZ44)</f>
        <v>3.9655172413793105</v>
      </c>
      <c r="CB44" s="32"/>
      <c r="CC44" s="9"/>
      <c r="CD44" s="32"/>
      <c r="CE44" s="9">
        <v>29</v>
      </c>
      <c r="CF44" s="7">
        <v>0.38552769750822335</v>
      </c>
      <c r="CG44" s="9">
        <f t="shared" si="22"/>
        <v>4</v>
      </c>
      <c r="CH44" s="38">
        <f>AVERAGE(CG$6:CG44)</f>
        <v>4.7241379310344831</v>
      </c>
      <c r="CI44" s="32"/>
      <c r="CJ44" s="9"/>
      <c r="CK44" s="32"/>
      <c r="CL44" s="9">
        <v>29</v>
      </c>
      <c r="CM44" s="7">
        <v>0.67571521989884786</v>
      </c>
      <c r="CN44" s="9">
        <f t="shared" si="9"/>
        <v>6</v>
      </c>
      <c r="CO44" s="38">
        <f>AVERAGE(CN$6:CN44)</f>
        <v>4.5862068965517242</v>
      </c>
      <c r="CP44" s="32"/>
      <c r="CQ44" s="9"/>
      <c r="CR44" s="32"/>
      <c r="CS44" s="9">
        <v>29</v>
      </c>
      <c r="CT44" s="7">
        <v>3.5728600603761151E-2</v>
      </c>
      <c r="CU44" s="9">
        <f t="shared" si="10"/>
        <v>1</v>
      </c>
      <c r="CV44" s="38">
        <f>AVERAGE(CU$6:CU44)</f>
        <v>4.8620689655172411</v>
      </c>
      <c r="CW44" s="32"/>
      <c r="CX44" s="9"/>
      <c r="CY44" s="32"/>
      <c r="CZ44" s="9">
        <v>29</v>
      </c>
      <c r="DA44" s="7">
        <v>0.5119509513315279</v>
      </c>
      <c r="DB44" s="9">
        <f t="shared" si="11"/>
        <v>5</v>
      </c>
      <c r="DC44" s="38">
        <f>AVERAGE(DB$6:DB44)</f>
        <v>4.6206896551724137</v>
      </c>
      <c r="DD44" s="32"/>
      <c r="DE44" s="9"/>
      <c r="DF44" s="32"/>
      <c r="DG44" s="9">
        <v>29</v>
      </c>
      <c r="DH44" s="7">
        <v>0.99805273819947615</v>
      </c>
      <c r="DI44" s="9">
        <f t="shared" si="12"/>
        <v>13</v>
      </c>
      <c r="DJ44" s="38">
        <f>AVERAGE(DI$6:DI44)</f>
        <v>5.1034482758620694</v>
      </c>
      <c r="DK44" s="32"/>
      <c r="DL44" s="9"/>
      <c r="DM44" s="32"/>
      <c r="DN44" s="9">
        <v>29</v>
      </c>
      <c r="DO44" s="7">
        <v>0.8151994026848115</v>
      </c>
      <c r="DP44" s="9">
        <f t="shared" si="13"/>
        <v>7</v>
      </c>
      <c r="DQ44" s="38">
        <f>AVERAGE(DP$6:DP44)</f>
        <v>5.1034482758620694</v>
      </c>
      <c r="DR44" s="32"/>
      <c r="DS44" s="9"/>
      <c r="DT44" s="32"/>
      <c r="DU44" s="9">
        <v>29</v>
      </c>
      <c r="DV44" s="7">
        <v>0.1569609456055332</v>
      </c>
      <c r="DW44" s="9">
        <f t="shared" si="14"/>
        <v>3</v>
      </c>
      <c r="DX44" s="38">
        <f>AVERAGE(DW$6:DW44)</f>
        <v>4.3448275862068968</v>
      </c>
      <c r="DY44" s="32"/>
      <c r="DZ44" s="9"/>
      <c r="EA44" s="32"/>
      <c r="EB44" s="9">
        <v>29</v>
      </c>
      <c r="EC44" s="7">
        <v>0.44179013534449041</v>
      </c>
      <c r="ED44" s="9">
        <f t="shared" si="15"/>
        <v>5</v>
      </c>
      <c r="EE44" s="38">
        <f>AVERAGE(ED$6:ED44)</f>
        <v>4.6206896551724137</v>
      </c>
      <c r="EF44" s="32"/>
      <c r="EG44" s="9"/>
      <c r="EH44" s="32"/>
      <c r="EI44" s="9">
        <v>29</v>
      </c>
      <c r="EJ44" s="7">
        <v>0.39406741296988912</v>
      </c>
      <c r="EK44" s="9">
        <f t="shared" si="16"/>
        <v>4</v>
      </c>
      <c r="EL44" s="38">
        <f>AVERAGE(EK$6:EK44)</f>
        <v>4.3448275862068968</v>
      </c>
      <c r="EM44" s="32"/>
      <c r="EN44" s="9"/>
      <c r="EO44" s="32"/>
      <c r="EP44" s="9">
        <v>29</v>
      </c>
      <c r="EQ44" s="7">
        <v>0.19597630866337568</v>
      </c>
      <c r="ER44" s="9">
        <f t="shared" si="17"/>
        <v>3</v>
      </c>
      <c r="ES44" s="38">
        <f>AVERAGE(ER$6:ER44)</f>
        <v>4.3448275862068968</v>
      </c>
      <c r="ET44" s="32"/>
    </row>
    <row r="45" spans="4:150" x14ac:dyDescent="0.25">
      <c r="E45" s="7"/>
      <c r="L45" s="32"/>
      <c r="M45" s="9">
        <v>30</v>
      </c>
      <c r="N45" s="7">
        <v>0.92987922570318915</v>
      </c>
      <c r="O45" s="9">
        <f t="shared" si="21"/>
        <v>8</v>
      </c>
      <c r="P45" s="38">
        <f>AVERAGE(O$6:O45)</f>
        <v>5.0666666666666664</v>
      </c>
      <c r="Q45" s="32"/>
      <c r="R45" s="9"/>
      <c r="S45" s="32"/>
      <c r="T45" s="9">
        <v>30</v>
      </c>
      <c r="U45" s="7">
        <v>0.70718242900329642</v>
      </c>
      <c r="V45" s="9">
        <f t="shared" si="0"/>
        <v>6</v>
      </c>
      <c r="W45" s="38">
        <f>AVERAGE(V$6:V45)</f>
        <v>4.166666666666667</v>
      </c>
      <c r="X45" s="32"/>
      <c r="Y45" s="9"/>
      <c r="Z45" s="32"/>
      <c r="AA45" s="9">
        <v>30</v>
      </c>
      <c r="AB45" s="7">
        <v>0.33710755666834302</v>
      </c>
      <c r="AC45" s="9">
        <f t="shared" si="1"/>
        <v>4</v>
      </c>
      <c r="AD45" s="38">
        <f>AVERAGE(AC$6:AC45)</f>
        <v>4.9000000000000004</v>
      </c>
      <c r="AE45" s="32"/>
      <c r="AF45" s="9"/>
      <c r="AG45" s="32"/>
      <c r="AH45" s="9">
        <v>30</v>
      </c>
      <c r="AI45" s="7">
        <v>0.35886000315076672</v>
      </c>
      <c r="AJ45" s="9">
        <f t="shared" si="2"/>
        <v>4</v>
      </c>
      <c r="AK45" s="38">
        <f>AVERAGE(AJ$6:AJ45)</f>
        <v>5</v>
      </c>
      <c r="AL45" s="32"/>
      <c r="AM45" s="9"/>
      <c r="AN45" s="32"/>
      <c r="AO45" s="9">
        <v>30</v>
      </c>
      <c r="AP45" s="7">
        <v>0.41411261740722694</v>
      </c>
      <c r="AQ45" s="9">
        <f t="shared" si="3"/>
        <v>4</v>
      </c>
      <c r="AR45" s="38">
        <f>AVERAGE(AQ$6:AQ45)</f>
        <v>4.9333333333333336</v>
      </c>
      <c r="AS45" s="32"/>
      <c r="AT45" s="9"/>
      <c r="AU45" s="32"/>
      <c r="AV45" s="9">
        <v>30</v>
      </c>
      <c r="AW45" s="7">
        <v>0.5885827700549271</v>
      </c>
      <c r="AX45" s="9">
        <f t="shared" si="4"/>
        <v>5</v>
      </c>
      <c r="AY45" s="38">
        <f>AVERAGE(AX$6:AX45)</f>
        <v>4.8</v>
      </c>
      <c r="AZ45" s="32"/>
      <c r="BA45" s="9"/>
      <c r="BB45" s="32"/>
      <c r="BC45" s="9">
        <v>30</v>
      </c>
      <c r="BD45" s="7">
        <v>0.65906776249175891</v>
      </c>
      <c r="BE45" s="9">
        <f t="shared" si="5"/>
        <v>6</v>
      </c>
      <c r="BF45" s="38">
        <f>AVERAGE(BE$6:BE45)</f>
        <v>4.9000000000000004</v>
      </c>
      <c r="BG45" s="32"/>
      <c r="BH45" s="9"/>
      <c r="BI45" s="32"/>
      <c r="BJ45" s="9">
        <v>30</v>
      </c>
      <c r="BK45" s="7">
        <v>0.89767147324164398</v>
      </c>
      <c r="BL45" s="9">
        <f t="shared" si="6"/>
        <v>8</v>
      </c>
      <c r="BM45" s="38">
        <f>AVERAGE(BL$6:BL45)</f>
        <v>5</v>
      </c>
      <c r="BN45" s="32"/>
      <c r="BO45" s="9"/>
      <c r="BP45" s="32"/>
      <c r="BQ45" s="9">
        <v>30</v>
      </c>
      <c r="BR45" s="7">
        <v>0.83269474530243315</v>
      </c>
      <c r="BS45" s="9">
        <f t="shared" si="7"/>
        <v>7</v>
      </c>
      <c r="BT45" s="38">
        <f>AVERAGE(BS$6:BS45)</f>
        <v>4.666666666666667</v>
      </c>
      <c r="BU45" s="32"/>
      <c r="BV45" s="9"/>
      <c r="BW45" s="32"/>
      <c r="BX45" s="9">
        <v>30</v>
      </c>
      <c r="BY45" s="7">
        <v>0.37965730225550942</v>
      </c>
      <c r="BZ45" s="9">
        <f t="shared" si="8"/>
        <v>4</v>
      </c>
      <c r="CA45" s="38">
        <f>AVERAGE(BZ$6:BZ45)</f>
        <v>3.9666666666666668</v>
      </c>
      <c r="CB45" s="32"/>
      <c r="CC45" s="9"/>
      <c r="CD45" s="32"/>
      <c r="CE45" s="9">
        <v>30</v>
      </c>
      <c r="CF45" s="7">
        <v>0.54676421676413156</v>
      </c>
      <c r="CG45" s="9">
        <f t="shared" si="22"/>
        <v>5</v>
      </c>
      <c r="CH45" s="38">
        <f>AVERAGE(CG$6:CG45)</f>
        <v>4.7333333333333334</v>
      </c>
      <c r="CI45" s="32"/>
      <c r="CJ45" s="9"/>
      <c r="CK45" s="32"/>
      <c r="CL45" s="9">
        <v>30</v>
      </c>
      <c r="CM45" s="7">
        <v>0.99333824793575332</v>
      </c>
      <c r="CN45" s="9">
        <f t="shared" si="9"/>
        <v>11</v>
      </c>
      <c r="CO45" s="38">
        <f>AVERAGE(CN$6:CN45)</f>
        <v>4.8</v>
      </c>
      <c r="CP45" s="32"/>
      <c r="CQ45" s="9"/>
      <c r="CR45" s="32"/>
      <c r="CS45" s="9">
        <v>30</v>
      </c>
      <c r="CT45" s="7">
        <v>0.40022931096609682</v>
      </c>
      <c r="CU45" s="9">
        <f t="shared" si="10"/>
        <v>4</v>
      </c>
      <c r="CV45" s="38">
        <f>AVERAGE(CU$6:CU45)</f>
        <v>4.833333333333333</v>
      </c>
      <c r="CW45" s="32"/>
      <c r="CX45" s="9"/>
      <c r="CY45" s="32"/>
      <c r="CZ45" s="9">
        <v>30</v>
      </c>
      <c r="DA45" s="7">
        <v>0.65473993576597422</v>
      </c>
      <c r="DB45" s="9">
        <f t="shared" si="11"/>
        <v>6</v>
      </c>
      <c r="DC45" s="38">
        <f>AVERAGE(DB$6:DB45)</f>
        <v>4.666666666666667</v>
      </c>
      <c r="DD45" s="32"/>
      <c r="DE45" s="9"/>
      <c r="DF45" s="32"/>
      <c r="DG45" s="9">
        <v>30</v>
      </c>
      <c r="DH45" s="7">
        <v>0.99716017275932245</v>
      </c>
      <c r="DI45" s="9">
        <f t="shared" si="12"/>
        <v>12</v>
      </c>
      <c r="DJ45" s="38">
        <f>AVERAGE(DI$6:DI45)</f>
        <v>5.333333333333333</v>
      </c>
      <c r="DK45" s="32"/>
      <c r="DL45" s="9"/>
      <c r="DM45" s="32"/>
      <c r="DN45" s="9">
        <v>30</v>
      </c>
      <c r="DO45" s="7">
        <v>0.82769238270702772</v>
      </c>
      <c r="DP45" s="9">
        <f t="shared" si="13"/>
        <v>7</v>
      </c>
      <c r="DQ45" s="38">
        <f>AVERAGE(DP$6:DP45)</f>
        <v>5.166666666666667</v>
      </c>
      <c r="DR45" s="32"/>
      <c r="DS45" s="9"/>
      <c r="DT45" s="32"/>
      <c r="DU45" s="9">
        <v>30</v>
      </c>
      <c r="DV45" s="7">
        <v>0.83488698687870055</v>
      </c>
      <c r="DW45" s="9">
        <f t="shared" si="14"/>
        <v>7</v>
      </c>
      <c r="DX45" s="38">
        <f>AVERAGE(DW$6:DW45)</f>
        <v>4.4333333333333336</v>
      </c>
      <c r="DY45" s="32"/>
      <c r="DZ45" s="9"/>
      <c r="EA45" s="32"/>
      <c r="EB45" s="9">
        <v>30</v>
      </c>
      <c r="EC45" s="7">
        <v>0.52191970244166441</v>
      </c>
      <c r="ED45" s="9">
        <f t="shared" si="15"/>
        <v>5</v>
      </c>
      <c r="EE45" s="38">
        <f>AVERAGE(ED$6:ED45)</f>
        <v>4.6333333333333337</v>
      </c>
      <c r="EF45" s="32"/>
      <c r="EG45" s="9"/>
      <c r="EH45" s="32"/>
      <c r="EI45" s="9">
        <v>30</v>
      </c>
      <c r="EJ45" s="7">
        <v>0.94471767952200025</v>
      </c>
      <c r="EK45" s="9">
        <f t="shared" si="16"/>
        <v>9</v>
      </c>
      <c r="EL45" s="38">
        <f>AVERAGE(EK$6:EK45)</f>
        <v>4.5</v>
      </c>
      <c r="EM45" s="32"/>
      <c r="EN45" s="9"/>
      <c r="EO45" s="32"/>
      <c r="EP45" s="9">
        <v>30</v>
      </c>
      <c r="EQ45" s="7">
        <v>0.9277989616675768</v>
      </c>
      <c r="ER45" s="9">
        <f t="shared" si="17"/>
        <v>8</v>
      </c>
      <c r="ES45" s="38">
        <f>AVERAGE(ER$6:ER45)</f>
        <v>4.4666666666666668</v>
      </c>
      <c r="ET45" s="32"/>
    </row>
    <row r="46" spans="4:150" x14ac:dyDescent="0.25">
      <c r="E46" s="7"/>
      <c r="L46" s="32"/>
      <c r="M46" s="9">
        <v>31</v>
      </c>
      <c r="N46" s="7">
        <v>0.88780123717151582</v>
      </c>
      <c r="O46" s="9">
        <f t="shared" si="21"/>
        <v>8</v>
      </c>
      <c r="P46" s="38">
        <f>AVERAGE(O$6:O46)</f>
        <v>5.161290322580645</v>
      </c>
      <c r="Q46" s="32"/>
      <c r="R46" s="9"/>
      <c r="S46" s="32"/>
      <c r="T46" s="9">
        <v>31</v>
      </c>
      <c r="U46" s="7">
        <v>0.19895093672676012</v>
      </c>
      <c r="V46" s="9">
        <f t="shared" si="0"/>
        <v>3</v>
      </c>
      <c r="W46" s="38">
        <f>AVERAGE(V$6:V46)</f>
        <v>4.129032258064516</v>
      </c>
      <c r="X46" s="32"/>
      <c r="Y46" s="9"/>
      <c r="Z46" s="32"/>
      <c r="AA46" s="9">
        <v>31</v>
      </c>
      <c r="AB46" s="7">
        <v>0.6103916842257604</v>
      </c>
      <c r="AC46" s="9">
        <f t="shared" si="1"/>
        <v>5</v>
      </c>
      <c r="AD46" s="38">
        <f>AVERAGE(AC$6:AC46)</f>
        <v>4.903225806451613</v>
      </c>
      <c r="AE46" s="32"/>
      <c r="AF46" s="9"/>
      <c r="AG46" s="32"/>
      <c r="AH46" s="9">
        <v>31</v>
      </c>
      <c r="AI46" s="7">
        <v>0.81290162267396227</v>
      </c>
      <c r="AJ46" s="9">
        <f t="shared" si="2"/>
        <v>7</v>
      </c>
      <c r="AK46" s="38">
        <f>AVERAGE(AJ$6:AJ46)</f>
        <v>5.064516129032258</v>
      </c>
      <c r="AL46" s="32"/>
      <c r="AM46" s="9"/>
      <c r="AN46" s="32"/>
      <c r="AO46" s="9">
        <v>31</v>
      </c>
      <c r="AP46" s="7">
        <v>0.26799796475097537</v>
      </c>
      <c r="AQ46" s="9">
        <f t="shared" si="3"/>
        <v>4</v>
      </c>
      <c r="AR46" s="38">
        <f>AVERAGE(AQ$6:AQ46)</f>
        <v>4.903225806451613</v>
      </c>
      <c r="AS46" s="32"/>
      <c r="AT46" s="9"/>
      <c r="AU46" s="32"/>
      <c r="AV46" s="9">
        <v>31</v>
      </c>
      <c r="AW46" s="7">
        <v>0.12012657831655815</v>
      </c>
      <c r="AX46" s="9">
        <f t="shared" si="4"/>
        <v>2</v>
      </c>
      <c r="AY46" s="38">
        <f>AVERAGE(AX$6:AX46)</f>
        <v>4.709677419354839</v>
      </c>
      <c r="AZ46" s="32"/>
      <c r="BA46" s="9"/>
      <c r="BB46" s="32"/>
      <c r="BC46" s="9">
        <v>31</v>
      </c>
      <c r="BD46" s="7">
        <v>0.41989768328494392</v>
      </c>
      <c r="BE46" s="9">
        <f t="shared" si="5"/>
        <v>4</v>
      </c>
      <c r="BF46" s="38">
        <f>AVERAGE(BE$6:BE46)</f>
        <v>4.870967741935484</v>
      </c>
      <c r="BG46" s="32"/>
      <c r="BH46" s="9"/>
      <c r="BI46" s="32"/>
      <c r="BJ46" s="9">
        <v>31</v>
      </c>
      <c r="BK46" s="7">
        <v>0.30080871947575361</v>
      </c>
      <c r="BL46" s="9">
        <f t="shared" si="6"/>
        <v>4</v>
      </c>
      <c r="BM46" s="38">
        <f>AVERAGE(BL$6:BL46)</f>
        <v>4.967741935483871</v>
      </c>
      <c r="BN46" s="32"/>
      <c r="BO46" s="9"/>
      <c r="BP46" s="32"/>
      <c r="BQ46" s="9">
        <v>31</v>
      </c>
      <c r="BR46" s="7">
        <v>0.83779383078217506</v>
      </c>
      <c r="BS46" s="9">
        <f t="shared" si="7"/>
        <v>7</v>
      </c>
      <c r="BT46" s="38">
        <f>AVERAGE(BS$6:BS46)</f>
        <v>4.741935483870968</v>
      </c>
      <c r="BU46" s="32"/>
      <c r="BV46" s="9"/>
      <c r="BW46" s="32"/>
      <c r="BX46" s="9">
        <v>31</v>
      </c>
      <c r="BY46" s="7">
        <v>0.52351066161645576</v>
      </c>
      <c r="BZ46" s="9">
        <f t="shared" si="8"/>
        <v>5</v>
      </c>
      <c r="CA46" s="38">
        <f>AVERAGE(BZ$6:BZ46)</f>
        <v>4</v>
      </c>
      <c r="CB46" s="32"/>
      <c r="CC46" s="9"/>
      <c r="CD46" s="32"/>
      <c r="CE46" s="9">
        <v>31</v>
      </c>
      <c r="CF46" s="7">
        <v>0.58357163355685771</v>
      </c>
      <c r="CG46" s="9">
        <f t="shared" si="22"/>
        <v>5</v>
      </c>
      <c r="CH46" s="38">
        <f>AVERAGE(CG$6:CG46)</f>
        <v>4.741935483870968</v>
      </c>
      <c r="CI46" s="32"/>
      <c r="CJ46" s="9"/>
      <c r="CK46" s="32"/>
      <c r="CL46" s="9">
        <v>31</v>
      </c>
      <c r="CM46" s="7">
        <v>0.56919768694206141</v>
      </c>
      <c r="CN46" s="9">
        <f t="shared" si="9"/>
        <v>5</v>
      </c>
      <c r="CO46" s="38">
        <f>AVERAGE(CN$6:CN46)</f>
        <v>4.806451612903226</v>
      </c>
      <c r="CP46" s="32"/>
      <c r="CQ46" s="9"/>
      <c r="CR46" s="32"/>
      <c r="CS46" s="9">
        <v>31</v>
      </c>
      <c r="CT46" s="7">
        <v>0.11809514756896533</v>
      </c>
      <c r="CU46" s="9">
        <f t="shared" si="10"/>
        <v>2</v>
      </c>
      <c r="CV46" s="38">
        <f>AVERAGE(CU$6:CU46)</f>
        <v>4.741935483870968</v>
      </c>
      <c r="CW46" s="32"/>
      <c r="CX46" s="9"/>
      <c r="CY46" s="32"/>
      <c r="CZ46" s="9">
        <v>31</v>
      </c>
      <c r="DA46" s="7">
        <v>0.19106691950582899</v>
      </c>
      <c r="DB46" s="9">
        <f t="shared" si="11"/>
        <v>3</v>
      </c>
      <c r="DC46" s="38">
        <f>AVERAGE(DB$6:DB46)</f>
        <v>4.612903225806452</v>
      </c>
      <c r="DD46" s="32"/>
      <c r="DE46" s="9"/>
      <c r="DF46" s="32"/>
      <c r="DG46" s="9">
        <v>31</v>
      </c>
      <c r="DH46" s="7">
        <v>0.53748897108016536</v>
      </c>
      <c r="DI46" s="9">
        <f t="shared" si="12"/>
        <v>5</v>
      </c>
      <c r="DJ46" s="38">
        <f>AVERAGE(DI$6:DI46)</f>
        <v>5.32258064516129</v>
      </c>
      <c r="DK46" s="32"/>
      <c r="DL46" s="9"/>
      <c r="DM46" s="32"/>
      <c r="DN46" s="9">
        <v>31</v>
      </c>
      <c r="DO46" s="7">
        <v>0.26157709414837882</v>
      </c>
      <c r="DP46" s="9">
        <f t="shared" si="13"/>
        <v>3</v>
      </c>
      <c r="DQ46" s="38">
        <f>AVERAGE(DP$6:DP46)</f>
        <v>5.096774193548387</v>
      </c>
      <c r="DR46" s="32"/>
      <c r="DS46" s="9"/>
      <c r="DT46" s="32"/>
      <c r="DU46" s="9">
        <v>31</v>
      </c>
      <c r="DV46" s="7">
        <v>0.96679824255988933</v>
      </c>
      <c r="DW46" s="9">
        <f t="shared" si="14"/>
        <v>9</v>
      </c>
      <c r="DX46" s="38">
        <f>AVERAGE(DW$6:DW46)</f>
        <v>4.580645161290323</v>
      </c>
      <c r="DY46" s="32"/>
      <c r="DZ46" s="9"/>
      <c r="EA46" s="32"/>
      <c r="EB46" s="9">
        <v>31</v>
      </c>
      <c r="EC46" s="7">
        <v>0.78864675748627633</v>
      </c>
      <c r="ED46" s="9">
        <f t="shared" si="15"/>
        <v>7</v>
      </c>
      <c r="EE46" s="38">
        <f>AVERAGE(ED$6:ED46)</f>
        <v>4.709677419354839</v>
      </c>
      <c r="EF46" s="32"/>
      <c r="EG46" s="9"/>
      <c r="EH46" s="32"/>
      <c r="EI46" s="9">
        <v>31</v>
      </c>
      <c r="EJ46" s="7">
        <v>0.52960495385923423</v>
      </c>
      <c r="EK46" s="9">
        <f t="shared" si="16"/>
        <v>5</v>
      </c>
      <c r="EL46" s="38">
        <f>AVERAGE(EK$6:EK46)</f>
        <v>4.5161290322580649</v>
      </c>
      <c r="EM46" s="32"/>
      <c r="EN46" s="9"/>
      <c r="EO46" s="32"/>
      <c r="EP46" s="9">
        <v>31</v>
      </c>
      <c r="EQ46" s="7">
        <v>0.81646525883115828</v>
      </c>
      <c r="ER46" s="9">
        <f t="shared" si="17"/>
        <v>7</v>
      </c>
      <c r="ES46" s="38">
        <f>AVERAGE(ER$6:ER46)</f>
        <v>4.5483870967741939</v>
      </c>
      <c r="ET46" s="32"/>
    </row>
    <row r="47" spans="4:150" x14ac:dyDescent="0.25">
      <c r="E47" s="7"/>
      <c r="L47" s="32"/>
      <c r="M47" s="9">
        <v>32</v>
      </c>
      <c r="N47" s="7">
        <v>0.21763714335975237</v>
      </c>
      <c r="O47" s="9">
        <f t="shared" si="21"/>
        <v>3</v>
      </c>
      <c r="P47" s="38">
        <f>AVERAGE(O$6:O47)</f>
        <v>5.09375</v>
      </c>
      <c r="Q47" s="32"/>
      <c r="R47" s="9"/>
      <c r="S47" s="32"/>
      <c r="T47" s="9">
        <v>32</v>
      </c>
      <c r="U47" s="7">
        <v>0.45973241431056522</v>
      </c>
      <c r="V47" s="9">
        <f t="shared" si="0"/>
        <v>5</v>
      </c>
      <c r="W47" s="38">
        <f>AVERAGE(V$6:V47)</f>
        <v>4.15625</v>
      </c>
      <c r="X47" s="32"/>
      <c r="Y47" s="9"/>
      <c r="Z47" s="32"/>
      <c r="AA47" s="9">
        <v>32</v>
      </c>
      <c r="AB47" s="7">
        <v>0.35171737629570998</v>
      </c>
      <c r="AC47" s="9">
        <f t="shared" si="1"/>
        <v>4</v>
      </c>
      <c r="AD47" s="38">
        <f>AVERAGE(AC$6:AC47)</f>
        <v>4.875</v>
      </c>
      <c r="AE47" s="32"/>
      <c r="AF47" s="9"/>
      <c r="AG47" s="32"/>
      <c r="AH47" s="9">
        <v>32</v>
      </c>
      <c r="AI47" s="7">
        <v>0.64433567711967044</v>
      </c>
      <c r="AJ47" s="9">
        <f t="shared" si="2"/>
        <v>6</v>
      </c>
      <c r="AK47" s="38">
        <f>AVERAGE(AJ$6:AJ47)</f>
        <v>5.09375</v>
      </c>
      <c r="AL47" s="32"/>
      <c r="AM47" s="9"/>
      <c r="AN47" s="32"/>
      <c r="AO47" s="9">
        <v>32</v>
      </c>
      <c r="AP47" s="7">
        <v>1.895184678141959E-2</v>
      </c>
      <c r="AQ47" s="9">
        <f t="shared" si="3"/>
        <v>1</v>
      </c>
      <c r="AR47" s="38">
        <f>AVERAGE(AQ$6:AQ47)</f>
        <v>4.78125</v>
      </c>
      <c r="AS47" s="32"/>
      <c r="AT47" s="9"/>
      <c r="AU47" s="32"/>
      <c r="AV47" s="9">
        <v>32</v>
      </c>
      <c r="AW47" s="7">
        <v>0.86518783305655234</v>
      </c>
      <c r="AX47" s="9">
        <f t="shared" si="4"/>
        <v>7</v>
      </c>
      <c r="AY47" s="38">
        <f>AVERAGE(AX$6:AX47)</f>
        <v>4.78125</v>
      </c>
      <c r="AZ47" s="32"/>
      <c r="BA47" s="9"/>
      <c r="BB47" s="32"/>
      <c r="BC47" s="9">
        <v>32</v>
      </c>
      <c r="BD47" s="7">
        <v>0.24730689177522436</v>
      </c>
      <c r="BE47" s="9">
        <f t="shared" si="5"/>
        <v>3</v>
      </c>
      <c r="BF47" s="38">
        <f>AVERAGE(BE$6:BE47)</f>
        <v>4.8125</v>
      </c>
      <c r="BG47" s="32"/>
      <c r="BH47" s="9"/>
      <c r="BI47" s="32"/>
      <c r="BJ47" s="9">
        <v>32</v>
      </c>
      <c r="BK47" s="7">
        <v>0.91649053004221059</v>
      </c>
      <c r="BL47" s="9">
        <f t="shared" si="6"/>
        <v>8</v>
      </c>
      <c r="BM47" s="38">
        <f>AVERAGE(BL$6:BL47)</f>
        <v>5.0625</v>
      </c>
      <c r="BN47" s="32"/>
      <c r="BO47" s="9"/>
      <c r="BP47" s="32"/>
      <c r="BQ47" s="9">
        <v>32</v>
      </c>
      <c r="BR47" s="7">
        <v>0.46382285284926184</v>
      </c>
      <c r="BS47" s="9">
        <f t="shared" si="7"/>
        <v>5</v>
      </c>
      <c r="BT47" s="38">
        <f>AVERAGE(BS$6:BS47)</f>
        <v>4.75</v>
      </c>
      <c r="BU47" s="32"/>
      <c r="BV47" s="9"/>
      <c r="BW47" s="32"/>
      <c r="BX47" s="9">
        <v>32</v>
      </c>
      <c r="BY47" s="7">
        <v>0.60799073250382207</v>
      </c>
      <c r="BZ47" s="9">
        <f t="shared" si="8"/>
        <v>5</v>
      </c>
      <c r="CA47" s="38">
        <f>AVERAGE(BZ$6:BZ47)</f>
        <v>4.03125</v>
      </c>
      <c r="CB47" s="32"/>
      <c r="CC47" s="9"/>
      <c r="CD47" s="32"/>
      <c r="CE47" s="9">
        <v>32</v>
      </c>
      <c r="CF47" s="7">
        <v>0.53939128181082197</v>
      </c>
      <c r="CG47" s="9">
        <f t="shared" si="22"/>
        <v>5</v>
      </c>
      <c r="CH47" s="38">
        <f>AVERAGE(CG$6:CG47)</f>
        <v>4.75</v>
      </c>
      <c r="CI47" s="32"/>
      <c r="CJ47" s="9"/>
      <c r="CK47" s="32"/>
      <c r="CL47" s="9">
        <v>32</v>
      </c>
      <c r="CM47" s="7">
        <v>0.13680877519072965</v>
      </c>
      <c r="CN47" s="9">
        <f t="shared" si="9"/>
        <v>3</v>
      </c>
      <c r="CO47" s="38">
        <f>AVERAGE(CN$6:CN47)</f>
        <v>4.75</v>
      </c>
      <c r="CP47" s="32"/>
      <c r="CQ47" s="9"/>
      <c r="CR47" s="32"/>
      <c r="CS47" s="9">
        <v>32</v>
      </c>
      <c r="CT47" s="7">
        <v>0.81900099804624915</v>
      </c>
      <c r="CU47" s="9">
        <f t="shared" si="10"/>
        <v>7</v>
      </c>
      <c r="CV47" s="38">
        <f>AVERAGE(CU$6:CU47)</f>
        <v>4.8125</v>
      </c>
      <c r="CW47" s="32"/>
      <c r="CX47" s="9"/>
      <c r="CY47" s="32"/>
      <c r="CZ47" s="9">
        <v>32</v>
      </c>
      <c r="DA47" s="7">
        <v>0.39946354553103447</v>
      </c>
      <c r="DB47" s="9">
        <f t="shared" si="11"/>
        <v>4</v>
      </c>
      <c r="DC47" s="38">
        <f>AVERAGE(DB$6:DB47)</f>
        <v>4.59375</v>
      </c>
      <c r="DD47" s="32"/>
      <c r="DE47" s="9"/>
      <c r="DF47" s="32"/>
      <c r="DG47" s="9">
        <v>32</v>
      </c>
      <c r="DH47" s="7">
        <v>0.80682010631426238</v>
      </c>
      <c r="DI47" s="9">
        <f t="shared" si="12"/>
        <v>7</v>
      </c>
      <c r="DJ47" s="38">
        <f>AVERAGE(DI$6:DI47)</f>
        <v>5.375</v>
      </c>
      <c r="DK47" s="32"/>
      <c r="DL47" s="9"/>
      <c r="DM47" s="32"/>
      <c r="DN47" s="9">
        <v>32</v>
      </c>
      <c r="DO47" s="7">
        <v>0.71220348644419573</v>
      </c>
      <c r="DP47" s="9">
        <f t="shared" si="13"/>
        <v>6</v>
      </c>
      <c r="DQ47" s="38">
        <f>AVERAGE(DP$6:DP47)</f>
        <v>5.125</v>
      </c>
      <c r="DR47" s="32"/>
      <c r="DS47" s="9"/>
      <c r="DT47" s="32"/>
      <c r="DU47" s="9">
        <v>32</v>
      </c>
      <c r="DV47" s="7">
        <v>0.90109491837210953</v>
      </c>
      <c r="DW47" s="9">
        <f t="shared" si="14"/>
        <v>8</v>
      </c>
      <c r="DX47" s="38">
        <f>AVERAGE(DW$6:DW47)</f>
        <v>4.6875</v>
      </c>
      <c r="DY47" s="32"/>
      <c r="DZ47" s="9"/>
      <c r="EA47" s="32"/>
      <c r="EB47" s="9">
        <v>32</v>
      </c>
      <c r="EC47" s="7">
        <v>0.15308010546141304</v>
      </c>
      <c r="ED47" s="9">
        <f t="shared" si="15"/>
        <v>3</v>
      </c>
      <c r="EE47" s="38">
        <f>AVERAGE(ED$6:ED47)</f>
        <v>4.65625</v>
      </c>
      <c r="EF47" s="32"/>
      <c r="EG47" s="9"/>
      <c r="EH47" s="32"/>
      <c r="EI47" s="9">
        <v>32</v>
      </c>
      <c r="EJ47" s="7">
        <v>0.74655123753473163</v>
      </c>
      <c r="EK47" s="9">
        <f t="shared" si="16"/>
        <v>6</v>
      </c>
      <c r="EL47" s="38">
        <f>AVERAGE(EK$6:EK47)</f>
        <v>4.5625</v>
      </c>
      <c r="EM47" s="32"/>
      <c r="EN47" s="9"/>
      <c r="EO47" s="32"/>
      <c r="EP47" s="9">
        <v>32</v>
      </c>
      <c r="EQ47" s="7">
        <v>0.47960829807561822</v>
      </c>
      <c r="ER47" s="9">
        <f t="shared" si="17"/>
        <v>5</v>
      </c>
      <c r="ES47" s="38">
        <f>AVERAGE(ER$6:ER47)</f>
        <v>4.5625</v>
      </c>
      <c r="ET47" s="32"/>
    </row>
    <row r="48" spans="4:150" x14ac:dyDescent="0.25">
      <c r="E48" s="7"/>
      <c r="L48" s="32">
        <v>5</v>
      </c>
      <c r="M48" s="9">
        <v>33</v>
      </c>
      <c r="N48" s="7">
        <v>8.3128830301575363E-2</v>
      </c>
      <c r="O48" s="9">
        <f t="shared" si="21"/>
        <v>2</v>
      </c>
      <c r="P48" s="38">
        <f>AVERAGE(O$6:O48)</f>
        <v>5</v>
      </c>
      <c r="Q48" s="32">
        <f t="shared" ref="Q48" si="84">SUM(O48:O55)</f>
        <v>37</v>
      </c>
      <c r="R48" s="9"/>
      <c r="S48" s="32">
        <v>5</v>
      </c>
      <c r="T48" s="9">
        <v>33</v>
      </c>
      <c r="U48" s="7">
        <v>0.76219336997019127</v>
      </c>
      <c r="V48" s="9">
        <f t="shared" si="0"/>
        <v>7</v>
      </c>
      <c r="W48" s="38">
        <f>AVERAGE(V$6:V48)</f>
        <v>4.2424242424242422</v>
      </c>
      <c r="X48" s="32">
        <f t="shared" ref="X48" si="85">SUM(V48:V55)</f>
        <v>38</v>
      </c>
      <c r="Y48" s="9"/>
      <c r="Z48" s="32">
        <v>5</v>
      </c>
      <c r="AA48" s="9">
        <v>33</v>
      </c>
      <c r="AB48" s="7">
        <v>0.13444879231974483</v>
      </c>
      <c r="AC48" s="9">
        <f t="shared" si="1"/>
        <v>3</v>
      </c>
      <c r="AD48" s="38">
        <f>AVERAGE(AC$6:AC48)</f>
        <v>4.8181818181818183</v>
      </c>
      <c r="AE48" s="32">
        <f t="shared" ref="AE48" si="86">SUM(AC48:AC55)</f>
        <v>29</v>
      </c>
      <c r="AF48" s="9"/>
      <c r="AG48" s="32">
        <v>5</v>
      </c>
      <c r="AH48" s="9">
        <v>33</v>
      </c>
      <c r="AI48" s="7">
        <v>0.83287371665937826</v>
      </c>
      <c r="AJ48" s="9">
        <f t="shared" si="2"/>
        <v>7</v>
      </c>
      <c r="AK48" s="38">
        <f>AVERAGE(AJ$6:AJ48)</f>
        <v>5.1515151515151514</v>
      </c>
      <c r="AL48" s="32">
        <f t="shared" ref="AL48" si="87">SUM(AJ48:AJ55)</f>
        <v>47</v>
      </c>
      <c r="AM48" s="9"/>
      <c r="AN48" s="32">
        <v>5</v>
      </c>
      <c r="AO48" s="9">
        <v>33</v>
      </c>
      <c r="AP48" s="7">
        <v>0.76020109246019274</v>
      </c>
      <c r="AQ48" s="9">
        <f t="shared" si="3"/>
        <v>6</v>
      </c>
      <c r="AR48" s="38">
        <f>AVERAGE(AQ$6:AQ48)</f>
        <v>4.8181818181818183</v>
      </c>
      <c r="AS48" s="32">
        <f t="shared" ref="AS48" si="88">SUM(AQ48:AQ55)</f>
        <v>42</v>
      </c>
      <c r="AT48" s="9"/>
      <c r="AU48" s="32">
        <v>5</v>
      </c>
      <c r="AV48" s="9">
        <v>33</v>
      </c>
      <c r="AW48" s="7">
        <v>0.57173402415355667</v>
      </c>
      <c r="AX48" s="9">
        <f t="shared" si="4"/>
        <v>5</v>
      </c>
      <c r="AY48" s="38">
        <f>AVERAGE(AX$6:AX48)</f>
        <v>4.7878787878787881</v>
      </c>
      <c r="AZ48" s="32">
        <f t="shared" ref="AZ48" si="89">SUM(AX48:AX55)</f>
        <v>39</v>
      </c>
      <c r="BA48" s="9"/>
      <c r="BB48" s="32">
        <v>5</v>
      </c>
      <c r="BC48" s="9">
        <v>33</v>
      </c>
      <c r="BD48" s="7">
        <v>0.36304926426964812</v>
      </c>
      <c r="BE48" s="9">
        <f t="shared" si="5"/>
        <v>4</v>
      </c>
      <c r="BF48" s="38">
        <f>AVERAGE(BE$6:BE48)</f>
        <v>4.7878787878787881</v>
      </c>
      <c r="BG48" s="32">
        <f t="shared" ref="BG48" si="90">SUM(BE48:BE55)</f>
        <v>50</v>
      </c>
      <c r="BH48" s="9"/>
      <c r="BI48" s="32">
        <v>5</v>
      </c>
      <c r="BJ48" s="9">
        <v>33</v>
      </c>
      <c r="BK48" s="7">
        <v>0.99262297176755965</v>
      </c>
      <c r="BL48" s="9">
        <f t="shared" si="6"/>
        <v>11</v>
      </c>
      <c r="BM48" s="38">
        <f>AVERAGE(BL$6:BL48)</f>
        <v>5.2424242424242422</v>
      </c>
      <c r="BN48" s="32">
        <f t="shared" ref="BN48" si="91">SUM(BL48:BL55)</f>
        <v>42</v>
      </c>
      <c r="BO48" s="9"/>
      <c r="BP48" s="32">
        <v>5</v>
      </c>
      <c r="BQ48" s="9">
        <v>33</v>
      </c>
      <c r="BR48" s="7">
        <v>0.86876921739894897</v>
      </c>
      <c r="BS48" s="9">
        <f t="shared" si="7"/>
        <v>8</v>
      </c>
      <c r="BT48" s="38">
        <f>AVERAGE(BS$6:BS48)</f>
        <v>4.8484848484848486</v>
      </c>
      <c r="BU48" s="32">
        <f t="shared" ref="BU48" si="92">SUM(BS48:BS55)</f>
        <v>41</v>
      </c>
      <c r="BV48" s="9"/>
      <c r="BW48" s="32">
        <v>5</v>
      </c>
      <c r="BX48" s="9">
        <v>33</v>
      </c>
      <c r="BY48" s="7">
        <v>0.1152272394974716</v>
      </c>
      <c r="BZ48" s="9">
        <f t="shared" si="8"/>
        <v>2</v>
      </c>
      <c r="CA48" s="38">
        <f>AVERAGE(BZ$6:BZ48)</f>
        <v>3.9696969696969697</v>
      </c>
      <c r="CB48" s="32">
        <f t="shared" ref="CB48" si="93">SUM(BZ48:BZ55)</f>
        <v>30</v>
      </c>
      <c r="CC48" s="9"/>
      <c r="CD48" s="32">
        <v>5</v>
      </c>
      <c r="CE48" s="9">
        <v>33</v>
      </c>
      <c r="CF48" s="7">
        <v>0.78651013260241598</v>
      </c>
      <c r="CG48" s="9">
        <f t="shared" si="22"/>
        <v>7</v>
      </c>
      <c r="CH48" s="38">
        <f>AVERAGE(CG$6:CG48)</f>
        <v>4.8181818181818183</v>
      </c>
      <c r="CI48" s="32">
        <f t="shared" ref="CI48" si="94">SUM(CG48:CG55)</f>
        <v>32</v>
      </c>
      <c r="CJ48" s="9"/>
      <c r="CK48" s="32">
        <v>5</v>
      </c>
      <c r="CL48" s="9">
        <v>33</v>
      </c>
      <c r="CM48" s="7">
        <v>0.45651922325487249</v>
      </c>
      <c r="CN48" s="9">
        <f t="shared" si="9"/>
        <v>5</v>
      </c>
      <c r="CO48" s="38">
        <f>AVERAGE(CN$6:CN48)</f>
        <v>4.7575757575757578</v>
      </c>
      <c r="CP48" s="32">
        <f t="shared" ref="CP48" si="95">SUM(CN48:CN55)</f>
        <v>26</v>
      </c>
      <c r="CQ48" s="9"/>
      <c r="CR48" s="32">
        <v>5</v>
      </c>
      <c r="CS48" s="9">
        <v>33</v>
      </c>
      <c r="CT48" s="7">
        <v>0.78551399384741671</v>
      </c>
      <c r="CU48" s="9">
        <f t="shared" si="10"/>
        <v>7</v>
      </c>
      <c r="CV48" s="38">
        <f>AVERAGE(CU$6:CU48)</f>
        <v>4.8787878787878789</v>
      </c>
      <c r="CW48" s="32">
        <f t="shared" ref="CW48" si="96">SUM(CU48:CU55)</f>
        <v>45</v>
      </c>
      <c r="CX48" s="9"/>
      <c r="CY48" s="32">
        <v>5</v>
      </c>
      <c r="CZ48" s="9">
        <v>33</v>
      </c>
      <c r="DA48" s="7">
        <v>0.72372594851185568</v>
      </c>
      <c r="DB48" s="9">
        <f t="shared" si="11"/>
        <v>6</v>
      </c>
      <c r="DC48" s="38">
        <f>AVERAGE(DB$6:DB48)</f>
        <v>4.6363636363636367</v>
      </c>
      <c r="DD48" s="32">
        <f t="shared" ref="DD48" si="97">SUM(DB48:DB55)</f>
        <v>40</v>
      </c>
      <c r="DE48" s="9"/>
      <c r="DF48" s="32">
        <v>5</v>
      </c>
      <c r="DG48" s="9">
        <v>33</v>
      </c>
      <c r="DH48" s="7">
        <v>0.51235475187422708</v>
      </c>
      <c r="DI48" s="9">
        <f t="shared" si="12"/>
        <v>5</v>
      </c>
      <c r="DJ48" s="38">
        <f>AVERAGE(DI$6:DI48)</f>
        <v>5.3636363636363633</v>
      </c>
      <c r="DK48" s="32">
        <f t="shared" ref="DK48" si="98">SUM(DI48:DI55)</f>
        <v>45</v>
      </c>
      <c r="DL48" s="9"/>
      <c r="DM48" s="32">
        <v>5</v>
      </c>
      <c r="DN48" s="9">
        <v>33</v>
      </c>
      <c r="DO48" s="7">
        <v>0.78479551878990605</v>
      </c>
      <c r="DP48" s="9">
        <f t="shared" si="13"/>
        <v>7</v>
      </c>
      <c r="DQ48" s="38">
        <f>AVERAGE(DP$6:DP48)</f>
        <v>5.1818181818181817</v>
      </c>
      <c r="DR48" s="32">
        <f t="shared" ref="DR48" si="99">SUM(DP48:DP55)</f>
        <v>48</v>
      </c>
      <c r="DS48" s="9"/>
      <c r="DT48" s="32">
        <v>5</v>
      </c>
      <c r="DU48" s="9">
        <v>33</v>
      </c>
      <c r="DV48" s="7">
        <v>6.3882961665512994E-2</v>
      </c>
      <c r="DW48" s="9">
        <f t="shared" si="14"/>
        <v>2</v>
      </c>
      <c r="DX48" s="38">
        <f>AVERAGE(DW$6:DW48)</f>
        <v>4.6060606060606064</v>
      </c>
      <c r="DY48" s="32">
        <f t="shared" ref="DY48" si="100">SUM(DW48:DW55)</f>
        <v>39</v>
      </c>
      <c r="DZ48" s="9"/>
      <c r="EA48" s="32">
        <v>5</v>
      </c>
      <c r="EB48" s="9">
        <v>33</v>
      </c>
      <c r="EC48" s="7">
        <v>0.83625431265681982</v>
      </c>
      <c r="ED48" s="9">
        <f t="shared" si="15"/>
        <v>7</v>
      </c>
      <c r="EE48" s="38">
        <f>AVERAGE(ED$6:ED48)</f>
        <v>4.7272727272727275</v>
      </c>
      <c r="EF48" s="32">
        <f t="shared" ref="EF48" si="101">SUM(ED48:ED55)</f>
        <v>41</v>
      </c>
      <c r="EG48" s="9"/>
      <c r="EH48" s="32">
        <v>5</v>
      </c>
      <c r="EI48" s="9">
        <v>33</v>
      </c>
      <c r="EJ48" s="7">
        <v>0.47388733041589148</v>
      </c>
      <c r="EK48" s="9">
        <f t="shared" si="16"/>
        <v>5</v>
      </c>
      <c r="EL48" s="38">
        <f>AVERAGE(EK$6:EK48)</f>
        <v>4.5757575757575761</v>
      </c>
      <c r="EM48" s="32">
        <f t="shared" ref="EM48" si="102">SUM(EK48:EK55)</f>
        <v>40</v>
      </c>
      <c r="EN48" s="9"/>
      <c r="EO48" s="32">
        <v>5</v>
      </c>
      <c r="EP48" s="9">
        <v>33</v>
      </c>
      <c r="EQ48" s="7">
        <v>0.99827350897248834</v>
      </c>
      <c r="ER48" s="9">
        <f t="shared" si="17"/>
        <v>13</v>
      </c>
      <c r="ES48" s="38">
        <f>AVERAGE(ER$6:ER48)</f>
        <v>4.8181818181818183</v>
      </c>
      <c r="ET48" s="32">
        <f t="shared" ref="ET48" si="103">SUM(ER48:ER55)</f>
        <v>36</v>
      </c>
    </row>
    <row r="49" spans="5:150" x14ac:dyDescent="0.25">
      <c r="E49" s="7"/>
      <c r="L49" s="32"/>
      <c r="M49" s="9">
        <v>34</v>
      </c>
      <c r="N49" s="7">
        <v>0.81134760534041561</v>
      </c>
      <c r="O49" s="9">
        <f t="shared" si="21"/>
        <v>7</v>
      </c>
      <c r="P49" s="38">
        <f>AVERAGE(O$6:O49)</f>
        <v>5.0588235294117645</v>
      </c>
      <c r="Q49" s="32"/>
      <c r="R49" s="9"/>
      <c r="S49" s="32"/>
      <c r="T49" s="9">
        <v>34</v>
      </c>
      <c r="U49" s="7">
        <v>0.52958553467760794</v>
      </c>
      <c r="V49" s="9">
        <f t="shared" si="0"/>
        <v>5</v>
      </c>
      <c r="W49" s="38">
        <f>AVERAGE(V$6:V49)</f>
        <v>4.2647058823529411</v>
      </c>
      <c r="X49" s="32"/>
      <c r="Y49" s="9"/>
      <c r="Z49" s="32"/>
      <c r="AA49" s="9">
        <v>34</v>
      </c>
      <c r="AB49" s="7">
        <v>0.24112804469768889</v>
      </c>
      <c r="AC49" s="9">
        <f t="shared" si="1"/>
        <v>3</v>
      </c>
      <c r="AD49" s="38">
        <f>AVERAGE(AC$6:AC49)</f>
        <v>4.7647058823529411</v>
      </c>
      <c r="AE49" s="32"/>
      <c r="AF49" s="9"/>
      <c r="AG49" s="32"/>
      <c r="AH49" s="9">
        <v>34</v>
      </c>
      <c r="AI49" s="7">
        <v>0.92996407960890792</v>
      </c>
      <c r="AJ49" s="9">
        <f t="shared" si="2"/>
        <v>8</v>
      </c>
      <c r="AK49" s="38">
        <f>AVERAGE(AJ$6:AJ49)</f>
        <v>5.2352941176470589</v>
      </c>
      <c r="AL49" s="32"/>
      <c r="AM49" s="9"/>
      <c r="AN49" s="32"/>
      <c r="AO49" s="9">
        <v>34</v>
      </c>
      <c r="AP49" s="7">
        <v>0.50356261702836491</v>
      </c>
      <c r="AQ49" s="9">
        <f t="shared" si="3"/>
        <v>5</v>
      </c>
      <c r="AR49" s="38">
        <f>AVERAGE(AQ$6:AQ49)</f>
        <v>4.8235294117647056</v>
      </c>
      <c r="AS49" s="32"/>
      <c r="AT49" s="9"/>
      <c r="AU49" s="32"/>
      <c r="AV49" s="9">
        <v>34</v>
      </c>
      <c r="AW49" s="7">
        <v>0.44302243911079131</v>
      </c>
      <c r="AX49" s="9">
        <f t="shared" si="4"/>
        <v>5</v>
      </c>
      <c r="AY49" s="38">
        <f>AVERAGE(AX$6:AX49)</f>
        <v>4.7941176470588234</v>
      </c>
      <c r="AZ49" s="32"/>
      <c r="BA49" s="9"/>
      <c r="BB49" s="32"/>
      <c r="BC49" s="9">
        <v>34</v>
      </c>
      <c r="BD49" s="7">
        <v>0.97037109889788553</v>
      </c>
      <c r="BE49" s="9">
        <f t="shared" si="5"/>
        <v>10</v>
      </c>
      <c r="BF49" s="38">
        <f>AVERAGE(BE$6:BE49)</f>
        <v>4.9411764705882355</v>
      </c>
      <c r="BG49" s="32"/>
      <c r="BH49" s="9"/>
      <c r="BI49" s="32"/>
      <c r="BJ49" s="9">
        <v>34</v>
      </c>
      <c r="BK49" s="7">
        <v>0.20083046032232232</v>
      </c>
      <c r="BL49" s="9">
        <f t="shared" si="6"/>
        <v>3</v>
      </c>
      <c r="BM49" s="38">
        <f>AVERAGE(BL$6:BL49)</f>
        <v>5.1764705882352944</v>
      </c>
      <c r="BN49" s="32"/>
      <c r="BO49" s="9"/>
      <c r="BP49" s="32"/>
      <c r="BQ49" s="9">
        <v>34</v>
      </c>
      <c r="BR49" s="7">
        <v>0.41614696048782207</v>
      </c>
      <c r="BS49" s="9">
        <f t="shared" si="7"/>
        <v>4</v>
      </c>
      <c r="BT49" s="38">
        <f>AVERAGE(BS$6:BS49)</f>
        <v>4.8235294117647056</v>
      </c>
      <c r="BU49" s="32"/>
      <c r="BV49" s="9"/>
      <c r="BW49" s="32"/>
      <c r="BX49" s="9">
        <v>34</v>
      </c>
      <c r="BY49" s="7">
        <v>0.34202834122697823</v>
      </c>
      <c r="BZ49" s="9">
        <f t="shared" si="8"/>
        <v>4</v>
      </c>
      <c r="CA49" s="38">
        <f>AVERAGE(BZ$6:BZ49)</f>
        <v>3.9705882352941178</v>
      </c>
      <c r="CB49" s="32"/>
      <c r="CC49" s="9"/>
      <c r="CD49" s="32"/>
      <c r="CE49" s="9">
        <v>34</v>
      </c>
      <c r="CF49" s="7">
        <v>5.2718290273332968E-2</v>
      </c>
      <c r="CG49" s="9">
        <f t="shared" si="22"/>
        <v>2</v>
      </c>
      <c r="CH49" s="38">
        <f>AVERAGE(CG$6:CG49)</f>
        <v>4.7352941176470589</v>
      </c>
      <c r="CI49" s="32"/>
      <c r="CJ49" s="9"/>
      <c r="CK49" s="32"/>
      <c r="CL49" s="9">
        <v>34</v>
      </c>
      <c r="CM49" s="7">
        <v>0.10739997628843412</v>
      </c>
      <c r="CN49" s="9">
        <f t="shared" si="9"/>
        <v>2</v>
      </c>
      <c r="CO49" s="38">
        <f>AVERAGE(CN$6:CN49)</f>
        <v>4.6764705882352944</v>
      </c>
      <c r="CP49" s="32"/>
      <c r="CQ49" s="9"/>
      <c r="CR49" s="32"/>
      <c r="CS49" s="9">
        <v>34</v>
      </c>
      <c r="CT49" s="7">
        <v>0.53970683144871145</v>
      </c>
      <c r="CU49" s="9">
        <f t="shared" si="10"/>
        <v>5</v>
      </c>
      <c r="CV49" s="38">
        <f>AVERAGE(CU$6:CU49)</f>
        <v>4.882352941176471</v>
      </c>
      <c r="CW49" s="32"/>
      <c r="CX49" s="9"/>
      <c r="CY49" s="32"/>
      <c r="CZ49" s="9">
        <v>34</v>
      </c>
      <c r="DA49" s="7">
        <v>0.71886348363477737</v>
      </c>
      <c r="DB49" s="9">
        <f t="shared" si="11"/>
        <v>6</v>
      </c>
      <c r="DC49" s="38">
        <f>AVERAGE(DB$6:DB49)</f>
        <v>4.6764705882352944</v>
      </c>
      <c r="DD49" s="32"/>
      <c r="DE49" s="9"/>
      <c r="DF49" s="32"/>
      <c r="DG49" s="9">
        <v>34</v>
      </c>
      <c r="DH49" s="7">
        <v>0.86269721525604837</v>
      </c>
      <c r="DI49" s="9">
        <f t="shared" si="12"/>
        <v>7</v>
      </c>
      <c r="DJ49" s="38">
        <f>AVERAGE(DI$6:DI49)</f>
        <v>5.4117647058823533</v>
      </c>
      <c r="DK49" s="32"/>
      <c r="DL49" s="9"/>
      <c r="DM49" s="32"/>
      <c r="DN49" s="9">
        <v>34</v>
      </c>
      <c r="DO49" s="7">
        <v>0.16969217683072202</v>
      </c>
      <c r="DP49" s="9">
        <f t="shared" si="13"/>
        <v>3</v>
      </c>
      <c r="DQ49" s="38">
        <f>AVERAGE(DP$6:DP49)</f>
        <v>5.117647058823529</v>
      </c>
      <c r="DR49" s="32"/>
      <c r="DS49" s="9"/>
      <c r="DT49" s="32"/>
      <c r="DU49" s="9">
        <v>34</v>
      </c>
      <c r="DV49" s="7">
        <v>0.89972525776829571</v>
      </c>
      <c r="DW49" s="9">
        <f t="shared" si="14"/>
        <v>8</v>
      </c>
      <c r="DX49" s="38">
        <f>AVERAGE(DW$6:DW49)</f>
        <v>4.7058823529411766</v>
      </c>
      <c r="DY49" s="32"/>
      <c r="DZ49" s="9"/>
      <c r="EA49" s="32"/>
      <c r="EB49" s="9">
        <v>34</v>
      </c>
      <c r="EC49" s="7">
        <v>0.67097101829131134</v>
      </c>
      <c r="ED49" s="9">
        <f t="shared" si="15"/>
        <v>6</v>
      </c>
      <c r="EE49" s="38">
        <f>AVERAGE(ED$6:ED49)</f>
        <v>4.7647058823529411</v>
      </c>
      <c r="EF49" s="32"/>
      <c r="EG49" s="9"/>
      <c r="EH49" s="32"/>
      <c r="EI49" s="9">
        <v>34</v>
      </c>
      <c r="EJ49" s="7">
        <v>5.1975164213217795E-2</v>
      </c>
      <c r="EK49" s="9">
        <f t="shared" si="16"/>
        <v>2</v>
      </c>
      <c r="EL49" s="38">
        <f>AVERAGE(EK$6:EK49)</f>
        <v>4.5</v>
      </c>
      <c r="EM49" s="32"/>
      <c r="EN49" s="9"/>
      <c r="EO49" s="32"/>
      <c r="EP49" s="9">
        <v>34</v>
      </c>
      <c r="EQ49" s="7">
        <v>0.11085712086060084</v>
      </c>
      <c r="ER49" s="9">
        <f t="shared" si="17"/>
        <v>2</v>
      </c>
      <c r="ES49" s="38">
        <f>AVERAGE(ER$6:ER49)</f>
        <v>4.7352941176470589</v>
      </c>
      <c r="ET49" s="32"/>
    </row>
    <row r="50" spans="5:150" x14ac:dyDescent="0.25">
      <c r="E50" s="7"/>
      <c r="L50" s="32"/>
      <c r="M50" s="9">
        <v>35</v>
      </c>
      <c r="N50" s="7">
        <v>0.84401675034314394</v>
      </c>
      <c r="O50" s="9">
        <f t="shared" si="21"/>
        <v>7</v>
      </c>
      <c r="P50" s="38">
        <f>AVERAGE(O$6:O50)</f>
        <v>5.1142857142857139</v>
      </c>
      <c r="Q50" s="32"/>
      <c r="R50" s="9"/>
      <c r="S50" s="32"/>
      <c r="T50" s="9">
        <v>35</v>
      </c>
      <c r="U50" s="7">
        <v>0.73655035899719223</v>
      </c>
      <c r="V50" s="9">
        <f t="shared" si="0"/>
        <v>6</v>
      </c>
      <c r="W50" s="38">
        <f>AVERAGE(V$6:V50)</f>
        <v>4.3142857142857141</v>
      </c>
      <c r="X50" s="32"/>
      <c r="Y50" s="9"/>
      <c r="Z50" s="32"/>
      <c r="AA50" s="9">
        <v>35</v>
      </c>
      <c r="AB50" s="7">
        <v>0.18094301933888346</v>
      </c>
      <c r="AC50" s="9">
        <f t="shared" si="1"/>
        <v>3</v>
      </c>
      <c r="AD50" s="38">
        <f>AVERAGE(AC$6:AC50)</f>
        <v>4.7142857142857144</v>
      </c>
      <c r="AE50" s="32"/>
      <c r="AF50" s="9"/>
      <c r="AG50" s="32"/>
      <c r="AH50" s="9">
        <v>35</v>
      </c>
      <c r="AI50" s="7">
        <v>0.93150099861668423</v>
      </c>
      <c r="AJ50" s="9">
        <f t="shared" si="2"/>
        <v>8</v>
      </c>
      <c r="AK50" s="38">
        <f>AVERAGE(AJ$6:AJ50)</f>
        <v>5.3142857142857141</v>
      </c>
      <c r="AL50" s="32"/>
      <c r="AM50" s="9"/>
      <c r="AN50" s="32"/>
      <c r="AO50" s="9">
        <v>35</v>
      </c>
      <c r="AP50" s="7">
        <v>0.33474776963703334</v>
      </c>
      <c r="AQ50" s="9">
        <f t="shared" si="3"/>
        <v>4</v>
      </c>
      <c r="AR50" s="38">
        <f>AVERAGE(AQ$6:AQ50)</f>
        <v>4.8</v>
      </c>
      <c r="AS50" s="32"/>
      <c r="AT50" s="9"/>
      <c r="AU50" s="32"/>
      <c r="AV50" s="9">
        <v>35</v>
      </c>
      <c r="AW50" s="7">
        <v>0.15655614208662882</v>
      </c>
      <c r="AX50" s="9">
        <f t="shared" si="4"/>
        <v>3</v>
      </c>
      <c r="AY50" s="38">
        <f>AVERAGE(AX$6:AX50)</f>
        <v>4.7428571428571429</v>
      </c>
      <c r="AZ50" s="32"/>
      <c r="BA50" s="9"/>
      <c r="BB50" s="32"/>
      <c r="BC50" s="9">
        <v>35</v>
      </c>
      <c r="BD50" s="7">
        <v>0.74111593244015239</v>
      </c>
      <c r="BE50" s="9">
        <f t="shared" si="5"/>
        <v>6</v>
      </c>
      <c r="BF50" s="38">
        <f>AVERAGE(BE$6:BE50)</f>
        <v>4.9714285714285715</v>
      </c>
      <c r="BG50" s="32"/>
      <c r="BH50" s="9"/>
      <c r="BI50" s="32"/>
      <c r="BJ50" s="9">
        <v>35</v>
      </c>
      <c r="BK50" s="7">
        <v>0.42768706602510065</v>
      </c>
      <c r="BL50" s="9">
        <f t="shared" si="6"/>
        <v>4</v>
      </c>
      <c r="BM50" s="38">
        <f>AVERAGE(BL$6:BL50)</f>
        <v>5.1428571428571432</v>
      </c>
      <c r="BN50" s="32"/>
      <c r="BO50" s="9"/>
      <c r="BP50" s="32"/>
      <c r="BQ50" s="9">
        <v>35</v>
      </c>
      <c r="BR50" s="7">
        <v>0.31568465125747025</v>
      </c>
      <c r="BS50" s="9">
        <f t="shared" si="7"/>
        <v>4</v>
      </c>
      <c r="BT50" s="38">
        <f>AVERAGE(BS$6:BS50)</f>
        <v>4.8</v>
      </c>
      <c r="BU50" s="32"/>
      <c r="BV50" s="9"/>
      <c r="BW50" s="32"/>
      <c r="BX50" s="9">
        <v>35</v>
      </c>
      <c r="BY50" s="7">
        <v>0.14459573192289099</v>
      </c>
      <c r="BZ50" s="9">
        <f t="shared" si="8"/>
        <v>3</v>
      </c>
      <c r="CA50" s="38">
        <f>AVERAGE(BZ$6:BZ50)</f>
        <v>3.9428571428571431</v>
      </c>
      <c r="CB50" s="32"/>
      <c r="CC50" s="9"/>
      <c r="CD50" s="32"/>
      <c r="CE50" s="9">
        <v>35</v>
      </c>
      <c r="CF50" s="7">
        <v>0.14991949079558253</v>
      </c>
      <c r="CG50" s="9">
        <f t="shared" si="22"/>
        <v>3</v>
      </c>
      <c r="CH50" s="38">
        <f>AVERAGE(CG$6:CG50)</f>
        <v>4.6857142857142859</v>
      </c>
      <c r="CI50" s="32"/>
      <c r="CJ50" s="9"/>
      <c r="CK50" s="32"/>
      <c r="CL50" s="9">
        <v>35</v>
      </c>
      <c r="CM50" s="7">
        <v>0.31098778857267462</v>
      </c>
      <c r="CN50" s="9">
        <f t="shared" si="9"/>
        <v>4</v>
      </c>
      <c r="CO50" s="38">
        <f>AVERAGE(CN$6:CN50)</f>
        <v>4.6571428571428575</v>
      </c>
      <c r="CP50" s="32"/>
      <c r="CQ50" s="9"/>
      <c r="CR50" s="32"/>
      <c r="CS50" s="9">
        <v>35</v>
      </c>
      <c r="CT50" s="7">
        <v>0.94901819611550309</v>
      </c>
      <c r="CU50" s="9">
        <f t="shared" si="10"/>
        <v>9</v>
      </c>
      <c r="CV50" s="38">
        <f>AVERAGE(CU$6:CU50)</f>
        <v>5</v>
      </c>
      <c r="CW50" s="32"/>
      <c r="CX50" s="9"/>
      <c r="CY50" s="32"/>
      <c r="CZ50" s="9">
        <v>35</v>
      </c>
      <c r="DA50" s="7">
        <v>0.21469407193944789</v>
      </c>
      <c r="DB50" s="9">
        <f t="shared" si="11"/>
        <v>3</v>
      </c>
      <c r="DC50" s="38">
        <f>AVERAGE(DB$6:DB50)</f>
        <v>4.628571428571429</v>
      </c>
      <c r="DD50" s="32"/>
      <c r="DE50" s="9"/>
      <c r="DF50" s="32"/>
      <c r="DG50" s="9">
        <v>35</v>
      </c>
      <c r="DH50" s="7">
        <v>0.28906585689401254</v>
      </c>
      <c r="DI50" s="9">
        <f t="shared" si="12"/>
        <v>4</v>
      </c>
      <c r="DJ50" s="38">
        <f>AVERAGE(DI$6:DI50)</f>
        <v>5.371428571428571</v>
      </c>
      <c r="DK50" s="32"/>
      <c r="DL50" s="9"/>
      <c r="DM50" s="32"/>
      <c r="DN50" s="9">
        <v>35</v>
      </c>
      <c r="DO50" s="7">
        <v>0.39147106785094365</v>
      </c>
      <c r="DP50" s="9">
        <f t="shared" si="13"/>
        <v>4</v>
      </c>
      <c r="DQ50" s="38">
        <f>AVERAGE(DP$6:DP50)</f>
        <v>5.0857142857142854</v>
      </c>
      <c r="DR50" s="32"/>
      <c r="DS50" s="9"/>
      <c r="DT50" s="32"/>
      <c r="DU50" s="9">
        <v>35</v>
      </c>
      <c r="DV50" s="7">
        <v>0.35850775070139207</v>
      </c>
      <c r="DW50" s="9">
        <f t="shared" si="14"/>
        <v>4</v>
      </c>
      <c r="DX50" s="38">
        <f>AVERAGE(DW$6:DW50)</f>
        <v>4.6857142857142859</v>
      </c>
      <c r="DY50" s="32"/>
      <c r="DZ50" s="9"/>
      <c r="EA50" s="32"/>
      <c r="EB50" s="9">
        <v>35</v>
      </c>
      <c r="EC50" s="7">
        <v>0.55007442005444318</v>
      </c>
      <c r="ED50" s="9">
        <f t="shared" si="15"/>
        <v>5</v>
      </c>
      <c r="EE50" s="38">
        <f>AVERAGE(ED$6:ED50)</f>
        <v>4.7714285714285714</v>
      </c>
      <c r="EF50" s="32"/>
      <c r="EG50" s="9"/>
      <c r="EH50" s="32"/>
      <c r="EI50" s="9">
        <v>35</v>
      </c>
      <c r="EJ50" s="7">
        <v>0.7672095698362682</v>
      </c>
      <c r="EK50" s="9">
        <f t="shared" si="16"/>
        <v>7</v>
      </c>
      <c r="EL50" s="38">
        <f>AVERAGE(EK$6:EK50)</f>
        <v>4.5714285714285712</v>
      </c>
      <c r="EM50" s="32"/>
      <c r="EN50" s="9"/>
      <c r="EO50" s="32"/>
      <c r="EP50" s="9">
        <v>35</v>
      </c>
      <c r="EQ50" s="7">
        <v>9.1417243238538504E-2</v>
      </c>
      <c r="ER50" s="9">
        <f t="shared" si="17"/>
        <v>2</v>
      </c>
      <c r="ES50" s="38">
        <f>AVERAGE(ER$6:ER50)</f>
        <v>4.6571428571428575</v>
      </c>
      <c r="ET50" s="32"/>
    </row>
    <row r="51" spans="5:150" x14ac:dyDescent="0.25">
      <c r="E51" s="7"/>
      <c r="L51" s="32"/>
      <c r="M51" s="9">
        <v>36</v>
      </c>
      <c r="N51" s="7">
        <v>0.66862642674823292</v>
      </c>
      <c r="O51" s="9">
        <f t="shared" si="21"/>
        <v>6</v>
      </c>
      <c r="P51" s="38">
        <f>AVERAGE(O$6:O51)</f>
        <v>5.1388888888888893</v>
      </c>
      <c r="Q51" s="32"/>
      <c r="R51" s="9"/>
      <c r="S51" s="32"/>
      <c r="T51" s="9">
        <v>36</v>
      </c>
      <c r="U51" s="7">
        <v>0.32343488358310424</v>
      </c>
      <c r="V51" s="9">
        <f t="shared" si="0"/>
        <v>4</v>
      </c>
      <c r="W51" s="38">
        <f>AVERAGE(V$6:V51)</f>
        <v>4.3055555555555554</v>
      </c>
      <c r="X51" s="32"/>
      <c r="Y51" s="9"/>
      <c r="Z51" s="32"/>
      <c r="AA51" s="9">
        <v>36</v>
      </c>
      <c r="AB51" s="7">
        <v>0.18565495955408551</v>
      </c>
      <c r="AC51" s="9">
        <f t="shared" si="1"/>
        <v>3</v>
      </c>
      <c r="AD51" s="38">
        <f>AVERAGE(AC$6:AC51)</f>
        <v>4.666666666666667</v>
      </c>
      <c r="AE51" s="32"/>
      <c r="AF51" s="9"/>
      <c r="AG51" s="32"/>
      <c r="AH51" s="9">
        <v>36</v>
      </c>
      <c r="AI51" s="7">
        <v>0.72301428762148134</v>
      </c>
      <c r="AJ51" s="9">
        <f t="shared" si="2"/>
        <v>6</v>
      </c>
      <c r="AK51" s="38">
        <f>AVERAGE(AJ$6:AJ51)</f>
        <v>5.333333333333333</v>
      </c>
      <c r="AL51" s="32"/>
      <c r="AM51" s="9"/>
      <c r="AN51" s="32"/>
      <c r="AO51" s="9">
        <v>36</v>
      </c>
      <c r="AP51" s="7">
        <v>0.39510136310127564</v>
      </c>
      <c r="AQ51" s="9">
        <f t="shared" si="3"/>
        <v>4</v>
      </c>
      <c r="AR51" s="38">
        <f>AVERAGE(AQ$6:AQ51)</f>
        <v>4.7777777777777777</v>
      </c>
      <c r="AS51" s="32"/>
      <c r="AT51" s="9"/>
      <c r="AU51" s="32"/>
      <c r="AV51" s="9">
        <v>36</v>
      </c>
      <c r="AW51" s="7">
        <v>0.62641317464294843</v>
      </c>
      <c r="AX51" s="9">
        <f t="shared" si="4"/>
        <v>6</v>
      </c>
      <c r="AY51" s="38">
        <f>AVERAGE(AX$6:AX51)</f>
        <v>4.7777777777777777</v>
      </c>
      <c r="AZ51" s="32"/>
      <c r="BA51" s="9"/>
      <c r="BB51" s="32"/>
      <c r="BC51" s="9">
        <v>36</v>
      </c>
      <c r="BD51" s="7">
        <v>0.6747052067075856</v>
      </c>
      <c r="BE51" s="9">
        <f t="shared" si="5"/>
        <v>6</v>
      </c>
      <c r="BF51" s="38">
        <f>AVERAGE(BE$6:BE51)</f>
        <v>5</v>
      </c>
      <c r="BG51" s="32"/>
      <c r="BH51" s="9"/>
      <c r="BI51" s="32"/>
      <c r="BJ51" s="9">
        <v>36</v>
      </c>
      <c r="BK51" s="7">
        <v>0.25883900295593776</v>
      </c>
      <c r="BL51" s="9">
        <f t="shared" si="6"/>
        <v>3</v>
      </c>
      <c r="BM51" s="38">
        <f>AVERAGE(BL$6:BL51)</f>
        <v>5.083333333333333</v>
      </c>
      <c r="BN51" s="32"/>
      <c r="BO51" s="9"/>
      <c r="BP51" s="32"/>
      <c r="BQ51" s="9">
        <v>36</v>
      </c>
      <c r="BR51" s="7">
        <v>0.57759539762628265</v>
      </c>
      <c r="BS51" s="9">
        <f t="shared" si="7"/>
        <v>5</v>
      </c>
      <c r="BT51" s="38">
        <f>AVERAGE(BS$6:BS51)</f>
        <v>4.8055555555555554</v>
      </c>
      <c r="BU51" s="32"/>
      <c r="BV51" s="9"/>
      <c r="BW51" s="32"/>
      <c r="BX51" s="9">
        <v>36</v>
      </c>
      <c r="BY51" s="7">
        <v>0.46680194031796418</v>
      </c>
      <c r="BZ51" s="9">
        <f t="shared" si="8"/>
        <v>5</v>
      </c>
      <c r="CA51" s="38">
        <f>AVERAGE(BZ$6:BZ51)</f>
        <v>3.9722222222222223</v>
      </c>
      <c r="CB51" s="32"/>
      <c r="CC51" s="9"/>
      <c r="CD51" s="32"/>
      <c r="CE51" s="9">
        <v>36</v>
      </c>
      <c r="CF51" s="7">
        <v>0.20853775975410827</v>
      </c>
      <c r="CG51" s="9">
        <f t="shared" si="22"/>
        <v>3</v>
      </c>
      <c r="CH51" s="38">
        <f>AVERAGE(CG$6:CG51)</f>
        <v>4.6388888888888893</v>
      </c>
      <c r="CI51" s="32"/>
      <c r="CJ51" s="9"/>
      <c r="CK51" s="32"/>
      <c r="CL51" s="9">
        <v>36</v>
      </c>
      <c r="CM51" s="7">
        <v>0.15871111495653167</v>
      </c>
      <c r="CN51" s="9">
        <f t="shared" si="9"/>
        <v>3</v>
      </c>
      <c r="CO51" s="38">
        <f>AVERAGE(CN$6:CN51)</f>
        <v>4.6111111111111107</v>
      </c>
      <c r="CP51" s="32"/>
      <c r="CQ51" s="9"/>
      <c r="CR51" s="32"/>
      <c r="CS51" s="9">
        <v>36</v>
      </c>
      <c r="CT51" s="7">
        <v>0.74437099951319396</v>
      </c>
      <c r="CU51" s="9">
        <f t="shared" si="10"/>
        <v>6</v>
      </c>
      <c r="CV51" s="38">
        <f>AVERAGE(CU$6:CU51)</f>
        <v>5.0277777777777777</v>
      </c>
      <c r="CW51" s="32"/>
      <c r="CX51" s="9"/>
      <c r="CY51" s="32"/>
      <c r="CZ51" s="9">
        <v>36</v>
      </c>
      <c r="DA51" s="7">
        <v>0.5674470488447696</v>
      </c>
      <c r="DB51" s="9">
        <f t="shared" si="11"/>
        <v>5</v>
      </c>
      <c r="DC51" s="38">
        <f>AVERAGE(DB$6:DB51)</f>
        <v>4.6388888888888893</v>
      </c>
      <c r="DD51" s="32"/>
      <c r="DE51" s="9"/>
      <c r="DF51" s="32"/>
      <c r="DG51" s="9">
        <v>36</v>
      </c>
      <c r="DH51" s="7">
        <v>0.86891630044556223</v>
      </c>
      <c r="DI51" s="9">
        <f t="shared" si="12"/>
        <v>8</v>
      </c>
      <c r="DJ51" s="38">
        <f>AVERAGE(DI$6:DI51)</f>
        <v>5.4444444444444446</v>
      </c>
      <c r="DK51" s="32"/>
      <c r="DL51" s="9"/>
      <c r="DM51" s="32"/>
      <c r="DN51" s="9">
        <v>36</v>
      </c>
      <c r="DO51" s="7">
        <v>0.60759994326508604</v>
      </c>
      <c r="DP51" s="9">
        <f t="shared" si="13"/>
        <v>5</v>
      </c>
      <c r="DQ51" s="38">
        <f>AVERAGE(DP$6:DP51)</f>
        <v>5.083333333333333</v>
      </c>
      <c r="DR51" s="32"/>
      <c r="DS51" s="9"/>
      <c r="DT51" s="32"/>
      <c r="DU51" s="9">
        <v>36</v>
      </c>
      <c r="DV51" s="7">
        <v>0.6314916112460196</v>
      </c>
      <c r="DW51" s="9">
        <f t="shared" si="14"/>
        <v>6</v>
      </c>
      <c r="DX51" s="38">
        <f>AVERAGE(DW$6:DW51)</f>
        <v>4.7222222222222223</v>
      </c>
      <c r="DY51" s="32"/>
      <c r="DZ51" s="9"/>
      <c r="EA51" s="32"/>
      <c r="EB51" s="9">
        <v>36</v>
      </c>
      <c r="EC51" s="7">
        <v>0.28832632806734182</v>
      </c>
      <c r="ED51" s="9">
        <f t="shared" si="15"/>
        <v>4</v>
      </c>
      <c r="EE51" s="38">
        <f>AVERAGE(ED$6:ED51)</f>
        <v>4.75</v>
      </c>
      <c r="EF51" s="32"/>
      <c r="EG51" s="9"/>
      <c r="EH51" s="32"/>
      <c r="EI51" s="9">
        <v>36</v>
      </c>
      <c r="EJ51" s="7">
        <v>0.11292846570722759</v>
      </c>
      <c r="EK51" s="9">
        <f t="shared" si="16"/>
        <v>2</v>
      </c>
      <c r="EL51" s="38">
        <f>AVERAGE(EK$6:EK51)</f>
        <v>4.5</v>
      </c>
      <c r="EM51" s="32"/>
      <c r="EN51" s="9"/>
      <c r="EO51" s="32"/>
      <c r="EP51" s="9">
        <v>36</v>
      </c>
      <c r="EQ51" s="7">
        <v>7.9880267876433209E-2</v>
      </c>
      <c r="ER51" s="9">
        <f t="shared" si="17"/>
        <v>2</v>
      </c>
      <c r="ES51" s="38">
        <f>AVERAGE(ER$6:ER51)</f>
        <v>4.583333333333333</v>
      </c>
      <c r="ET51" s="32"/>
    </row>
    <row r="52" spans="5:150" x14ac:dyDescent="0.25">
      <c r="E52" s="7"/>
      <c r="L52" s="32"/>
      <c r="M52" s="9">
        <v>37</v>
      </c>
      <c r="N52" s="7">
        <v>0.34260977536905557</v>
      </c>
      <c r="O52" s="9">
        <f t="shared" si="21"/>
        <v>4</v>
      </c>
      <c r="P52" s="38">
        <f>AVERAGE(O$6:O52)</f>
        <v>5.1081081081081079</v>
      </c>
      <c r="Q52" s="32"/>
      <c r="R52" s="9"/>
      <c r="S52" s="32"/>
      <c r="T52" s="9">
        <v>37</v>
      </c>
      <c r="U52" s="7">
        <v>0.56896504532778636</v>
      </c>
      <c r="V52" s="9">
        <f t="shared" si="0"/>
        <v>5</v>
      </c>
      <c r="W52" s="38">
        <f>AVERAGE(V$6:V52)</f>
        <v>4.3243243243243246</v>
      </c>
      <c r="X52" s="32"/>
      <c r="Y52" s="9"/>
      <c r="Z52" s="32"/>
      <c r="AA52" s="9">
        <v>37</v>
      </c>
      <c r="AB52" s="7">
        <v>0.61230417038314044</v>
      </c>
      <c r="AC52" s="9">
        <f t="shared" si="1"/>
        <v>5</v>
      </c>
      <c r="AD52" s="38">
        <f>AVERAGE(AC$6:AC52)</f>
        <v>4.6756756756756754</v>
      </c>
      <c r="AE52" s="32"/>
      <c r="AF52" s="9"/>
      <c r="AG52" s="32"/>
      <c r="AH52" s="9">
        <v>37</v>
      </c>
      <c r="AI52" s="7">
        <v>0.35235812509199604</v>
      </c>
      <c r="AJ52" s="9">
        <f t="shared" si="2"/>
        <v>4</v>
      </c>
      <c r="AK52" s="38">
        <f>AVERAGE(AJ$6:AJ52)</f>
        <v>5.2972972972972974</v>
      </c>
      <c r="AL52" s="32"/>
      <c r="AM52" s="9"/>
      <c r="AN52" s="32"/>
      <c r="AO52" s="9">
        <v>37</v>
      </c>
      <c r="AP52" s="7">
        <v>0.47720199718605727</v>
      </c>
      <c r="AQ52" s="9">
        <f t="shared" si="3"/>
        <v>5</v>
      </c>
      <c r="AR52" s="38">
        <f>AVERAGE(AQ$6:AQ52)</f>
        <v>4.7837837837837842</v>
      </c>
      <c r="AS52" s="32"/>
      <c r="AT52" s="9"/>
      <c r="AU52" s="32"/>
      <c r="AV52" s="9">
        <v>37</v>
      </c>
      <c r="AW52" s="7">
        <v>0.60278494114754722</v>
      </c>
      <c r="AX52" s="9">
        <f t="shared" si="4"/>
        <v>5</v>
      </c>
      <c r="AY52" s="38">
        <f>AVERAGE(AX$6:AX52)</f>
        <v>4.7837837837837842</v>
      </c>
      <c r="AZ52" s="32"/>
      <c r="BA52" s="9"/>
      <c r="BB52" s="32"/>
      <c r="BC52" s="9">
        <v>37</v>
      </c>
      <c r="BD52" s="7">
        <v>0.47318145443568937</v>
      </c>
      <c r="BE52" s="9">
        <f t="shared" si="5"/>
        <v>5</v>
      </c>
      <c r="BF52" s="38">
        <f>AVERAGE(BE$6:BE52)</f>
        <v>5</v>
      </c>
      <c r="BG52" s="32"/>
      <c r="BH52" s="9"/>
      <c r="BI52" s="32"/>
      <c r="BJ52" s="9">
        <v>37</v>
      </c>
      <c r="BK52" s="7">
        <v>0.30208652233704925</v>
      </c>
      <c r="BL52" s="9">
        <f t="shared" si="6"/>
        <v>4</v>
      </c>
      <c r="BM52" s="38">
        <f>AVERAGE(BL$6:BL52)</f>
        <v>5.0540540540540544</v>
      </c>
      <c r="BN52" s="32"/>
      <c r="BO52" s="9"/>
      <c r="BP52" s="32"/>
      <c r="BQ52" s="9">
        <v>37</v>
      </c>
      <c r="BR52" s="7">
        <v>0.46162977756466717</v>
      </c>
      <c r="BS52" s="9">
        <f t="shared" si="7"/>
        <v>5</v>
      </c>
      <c r="BT52" s="38">
        <f>AVERAGE(BS$6:BS52)</f>
        <v>4.8108108108108105</v>
      </c>
      <c r="BU52" s="32"/>
      <c r="BV52" s="9"/>
      <c r="BW52" s="32"/>
      <c r="BX52" s="9">
        <v>37</v>
      </c>
      <c r="BY52" s="7">
        <v>0.4029992637806572</v>
      </c>
      <c r="BZ52" s="9">
        <f t="shared" si="8"/>
        <v>4</v>
      </c>
      <c r="CA52" s="38">
        <f>AVERAGE(BZ$6:BZ52)</f>
        <v>3.9729729729729728</v>
      </c>
      <c r="CB52" s="32"/>
      <c r="CC52" s="9"/>
      <c r="CD52" s="32"/>
      <c r="CE52" s="9">
        <v>37</v>
      </c>
      <c r="CF52" s="7">
        <v>0.39694627339486033</v>
      </c>
      <c r="CG52" s="9">
        <f t="shared" si="22"/>
        <v>4</v>
      </c>
      <c r="CH52" s="38">
        <f>AVERAGE(CG$6:CG52)</f>
        <v>4.6216216216216219</v>
      </c>
      <c r="CI52" s="32"/>
      <c r="CJ52" s="9"/>
      <c r="CK52" s="32"/>
      <c r="CL52" s="9">
        <v>37</v>
      </c>
      <c r="CM52" s="7">
        <v>0.73622420264291577</v>
      </c>
      <c r="CN52" s="9">
        <f t="shared" si="9"/>
        <v>6</v>
      </c>
      <c r="CO52" s="38">
        <f>AVERAGE(CN$6:CN52)</f>
        <v>4.6486486486486482</v>
      </c>
      <c r="CP52" s="32"/>
      <c r="CQ52" s="9"/>
      <c r="CR52" s="32"/>
      <c r="CS52" s="9">
        <v>37</v>
      </c>
      <c r="CT52" s="7">
        <v>0.35106474932399578</v>
      </c>
      <c r="CU52" s="9">
        <f t="shared" si="10"/>
        <v>4</v>
      </c>
      <c r="CV52" s="38">
        <f>AVERAGE(CU$6:CU52)</f>
        <v>5</v>
      </c>
      <c r="CW52" s="32"/>
      <c r="CX52" s="9"/>
      <c r="CY52" s="32"/>
      <c r="CZ52" s="9">
        <v>37</v>
      </c>
      <c r="DA52" s="7">
        <v>0.23523015508544631</v>
      </c>
      <c r="DB52" s="9">
        <f t="shared" si="11"/>
        <v>3</v>
      </c>
      <c r="DC52" s="38">
        <f>AVERAGE(DB$6:DB52)</f>
        <v>4.5945945945945947</v>
      </c>
      <c r="DD52" s="32"/>
      <c r="DE52" s="9"/>
      <c r="DF52" s="32"/>
      <c r="DG52" s="9">
        <v>37</v>
      </c>
      <c r="DH52" s="7">
        <v>0.49189472949365154</v>
      </c>
      <c r="DI52" s="9">
        <f t="shared" si="12"/>
        <v>5</v>
      </c>
      <c r="DJ52" s="38">
        <f>AVERAGE(DI$6:DI52)</f>
        <v>5.4324324324324325</v>
      </c>
      <c r="DK52" s="32"/>
      <c r="DL52" s="9"/>
      <c r="DM52" s="32"/>
      <c r="DN52" s="9">
        <v>37</v>
      </c>
      <c r="DO52" s="7">
        <v>0.91397078154841438</v>
      </c>
      <c r="DP52" s="9">
        <f t="shared" si="13"/>
        <v>8</v>
      </c>
      <c r="DQ52" s="38">
        <f>AVERAGE(DP$6:DP52)</f>
        <v>5.1621621621621623</v>
      </c>
      <c r="DR52" s="32"/>
      <c r="DS52" s="9"/>
      <c r="DT52" s="32"/>
      <c r="DU52" s="9">
        <v>37</v>
      </c>
      <c r="DV52" s="7">
        <v>0.21817979172919877</v>
      </c>
      <c r="DW52" s="9">
        <f t="shared" si="14"/>
        <v>3</v>
      </c>
      <c r="DX52" s="38">
        <f>AVERAGE(DW$6:DW52)</f>
        <v>4.6756756756756754</v>
      </c>
      <c r="DY52" s="32"/>
      <c r="DZ52" s="9"/>
      <c r="EA52" s="32"/>
      <c r="EB52" s="9">
        <v>37</v>
      </c>
      <c r="EC52" s="7">
        <v>0.48805895471014082</v>
      </c>
      <c r="ED52" s="9">
        <f t="shared" si="15"/>
        <v>5</v>
      </c>
      <c r="EE52" s="38">
        <f>AVERAGE(ED$6:ED52)</f>
        <v>4.756756756756757</v>
      </c>
      <c r="EF52" s="32"/>
      <c r="EG52" s="9"/>
      <c r="EH52" s="32"/>
      <c r="EI52" s="9">
        <v>37</v>
      </c>
      <c r="EJ52" s="7">
        <v>0.1581598392513115</v>
      </c>
      <c r="EK52" s="9">
        <f t="shared" si="16"/>
        <v>3</v>
      </c>
      <c r="EL52" s="38">
        <f>AVERAGE(EK$6:EK52)</f>
        <v>4.4594594594594597</v>
      </c>
      <c r="EM52" s="32"/>
      <c r="EN52" s="9"/>
      <c r="EO52" s="32"/>
      <c r="EP52" s="9">
        <v>37</v>
      </c>
      <c r="EQ52" s="7">
        <v>0.13833795639220625</v>
      </c>
      <c r="ER52" s="9">
        <f t="shared" si="17"/>
        <v>3</v>
      </c>
      <c r="ES52" s="38">
        <f>AVERAGE(ER$6:ER52)</f>
        <v>4.5405405405405403</v>
      </c>
      <c r="ET52" s="32"/>
    </row>
    <row r="53" spans="5:150" x14ac:dyDescent="0.25">
      <c r="E53" s="7"/>
      <c r="L53" s="32"/>
      <c r="M53" s="9">
        <v>38</v>
      </c>
      <c r="N53" s="7">
        <v>0.44403431509272195</v>
      </c>
      <c r="O53" s="9">
        <f t="shared" si="21"/>
        <v>5</v>
      </c>
      <c r="P53" s="38">
        <f>AVERAGE(O$6:O53)</f>
        <v>5.1052631578947372</v>
      </c>
      <c r="Q53" s="32"/>
      <c r="R53" s="9"/>
      <c r="S53" s="32"/>
      <c r="T53" s="9">
        <v>38</v>
      </c>
      <c r="U53" s="7">
        <v>1.6998343839077279E-2</v>
      </c>
      <c r="V53" s="9">
        <f t="shared" si="0"/>
        <v>1</v>
      </c>
      <c r="W53" s="38">
        <f>AVERAGE(V$6:V53)</f>
        <v>4.2368421052631575</v>
      </c>
      <c r="X53" s="32"/>
      <c r="Y53" s="9"/>
      <c r="Z53" s="32"/>
      <c r="AA53" s="9">
        <v>38</v>
      </c>
      <c r="AB53" s="7">
        <v>0.33664774734643288</v>
      </c>
      <c r="AC53" s="9">
        <f t="shared" si="1"/>
        <v>4</v>
      </c>
      <c r="AD53" s="38">
        <f>AVERAGE(AC$6:AC53)</f>
        <v>4.6578947368421053</v>
      </c>
      <c r="AE53" s="32"/>
      <c r="AF53" s="9"/>
      <c r="AG53" s="32"/>
      <c r="AH53" s="9">
        <v>38</v>
      </c>
      <c r="AI53" s="7">
        <v>0.46443442240706645</v>
      </c>
      <c r="AJ53" s="9">
        <f t="shared" si="2"/>
        <v>5</v>
      </c>
      <c r="AK53" s="38">
        <f>AVERAGE(AJ$6:AJ53)</f>
        <v>5.2894736842105265</v>
      </c>
      <c r="AL53" s="32"/>
      <c r="AM53" s="9"/>
      <c r="AN53" s="32"/>
      <c r="AO53" s="9">
        <v>38</v>
      </c>
      <c r="AP53" s="7">
        <v>0.75902855084859766</v>
      </c>
      <c r="AQ53" s="9">
        <f t="shared" si="3"/>
        <v>6</v>
      </c>
      <c r="AR53" s="38">
        <f>AVERAGE(AQ$6:AQ53)</f>
        <v>4.8157894736842106</v>
      </c>
      <c r="AS53" s="32"/>
      <c r="AT53" s="9"/>
      <c r="AU53" s="32"/>
      <c r="AV53" s="9">
        <v>38</v>
      </c>
      <c r="AW53" s="7">
        <v>0.43424469101591967</v>
      </c>
      <c r="AX53" s="9">
        <f t="shared" si="4"/>
        <v>4</v>
      </c>
      <c r="AY53" s="38">
        <f>AVERAGE(AX$6:AX53)</f>
        <v>4.7631578947368425</v>
      </c>
      <c r="AZ53" s="32"/>
      <c r="BA53" s="9"/>
      <c r="BB53" s="32"/>
      <c r="BC53" s="9">
        <v>38</v>
      </c>
      <c r="BD53" s="7">
        <v>0.68844903440913185</v>
      </c>
      <c r="BE53" s="9">
        <f t="shared" si="5"/>
        <v>6</v>
      </c>
      <c r="BF53" s="38">
        <f>AVERAGE(BE$6:BE53)</f>
        <v>5.0263157894736841</v>
      </c>
      <c r="BG53" s="32"/>
      <c r="BH53" s="9"/>
      <c r="BI53" s="32"/>
      <c r="BJ53" s="9">
        <v>38</v>
      </c>
      <c r="BK53" s="7">
        <v>0.57455900360946544</v>
      </c>
      <c r="BL53" s="9">
        <f t="shared" si="6"/>
        <v>5</v>
      </c>
      <c r="BM53" s="38">
        <f>AVERAGE(BL$6:BL53)</f>
        <v>5.0526315789473681</v>
      </c>
      <c r="BN53" s="32"/>
      <c r="BO53" s="9"/>
      <c r="BP53" s="32"/>
      <c r="BQ53" s="9">
        <v>38</v>
      </c>
      <c r="BR53" s="7">
        <v>0.73933544583269395</v>
      </c>
      <c r="BS53" s="9">
        <f t="shared" si="7"/>
        <v>6</v>
      </c>
      <c r="BT53" s="38">
        <f>AVERAGE(BS$6:BS53)</f>
        <v>4.8421052631578947</v>
      </c>
      <c r="BU53" s="32"/>
      <c r="BV53" s="9"/>
      <c r="BW53" s="32"/>
      <c r="BX53" s="9">
        <v>38</v>
      </c>
      <c r="BY53" s="7">
        <v>0.54462084706756286</v>
      </c>
      <c r="BZ53" s="9">
        <f t="shared" si="8"/>
        <v>5</v>
      </c>
      <c r="CA53" s="38">
        <f>AVERAGE(BZ$6:BZ53)</f>
        <v>4</v>
      </c>
      <c r="CB53" s="32"/>
      <c r="CC53" s="9"/>
      <c r="CD53" s="32"/>
      <c r="CE53" s="9">
        <v>38</v>
      </c>
      <c r="CF53" s="7">
        <v>0.42733079838217236</v>
      </c>
      <c r="CG53" s="9">
        <f t="shared" si="22"/>
        <v>4</v>
      </c>
      <c r="CH53" s="38">
        <f>AVERAGE(CG$6:CG53)</f>
        <v>4.6052631578947372</v>
      </c>
      <c r="CI53" s="32"/>
      <c r="CJ53" s="9"/>
      <c r="CK53" s="32"/>
      <c r="CL53" s="9">
        <v>38</v>
      </c>
      <c r="CM53" s="7">
        <v>0.15546436113072559</v>
      </c>
      <c r="CN53" s="9">
        <f t="shared" si="9"/>
        <v>3</v>
      </c>
      <c r="CO53" s="38">
        <f>AVERAGE(CN$6:CN53)</f>
        <v>4.6052631578947372</v>
      </c>
      <c r="CP53" s="32"/>
      <c r="CQ53" s="9"/>
      <c r="CR53" s="32"/>
      <c r="CS53" s="9">
        <v>38</v>
      </c>
      <c r="CT53" s="7">
        <v>0.79834590188693255</v>
      </c>
      <c r="CU53" s="9">
        <f t="shared" si="10"/>
        <v>7</v>
      </c>
      <c r="CV53" s="38">
        <f>AVERAGE(CU$6:CU53)</f>
        <v>5.0526315789473681</v>
      </c>
      <c r="CW53" s="32"/>
      <c r="CX53" s="9"/>
      <c r="CY53" s="32"/>
      <c r="CZ53" s="9">
        <v>38</v>
      </c>
      <c r="DA53" s="7">
        <v>0.14352986903395504</v>
      </c>
      <c r="DB53" s="9">
        <f t="shared" si="11"/>
        <v>3</v>
      </c>
      <c r="DC53" s="38">
        <f>AVERAGE(DB$6:DB53)</f>
        <v>4.5526315789473681</v>
      </c>
      <c r="DD53" s="32"/>
      <c r="DE53" s="9"/>
      <c r="DF53" s="32"/>
      <c r="DG53" s="9">
        <v>38</v>
      </c>
      <c r="DH53" s="7">
        <v>0.32578568925964646</v>
      </c>
      <c r="DI53" s="9">
        <f t="shared" si="12"/>
        <v>4</v>
      </c>
      <c r="DJ53" s="38">
        <f>AVERAGE(DI$6:DI53)</f>
        <v>5.3947368421052628</v>
      </c>
      <c r="DK53" s="32"/>
      <c r="DL53" s="9"/>
      <c r="DM53" s="32"/>
      <c r="DN53" s="9">
        <v>38</v>
      </c>
      <c r="DO53" s="7">
        <v>0.6949524974625092</v>
      </c>
      <c r="DP53" s="9">
        <f t="shared" si="13"/>
        <v>6</v>
      </c>
      <c r="DQ53" s="38">
        <f>AVERAGE(DP$6:DP53)</f>
        <v>5.1842105263157894</v>
      </c>
      <c r="DR53" s="32"/>
      <c r="DS53" s="9"/>
      <c r="DT53" s="32"/>
      <c r="DU53" s="9">
        <v>38</v>
      </c>
      <c r="DV53" s="7">
        <v>0.36259274056646973</v>
      </c>
      <c r="DW53" s="9">
        <f t="shared" si="14"/>
        <v>4</v>
      </c>
      <c r="DX53" s="38">
        <f>AVERAGE(DW$6:DW53)</f>
        <v>4.6578947368421053</v>
      </c>
      <c r="DY53" s="32"/>
      <c r="DZ53" s="9"/>
      <c r="EA53" s="32"/>
      <c r="EB53" s="9">
        <v>38</v>
      </c>
      <c r="EC53" s="7">
        <v>0.35036167575162835</v>
      </c>
      <c r="ED53" s="9">
        <f t="shared" si="15"/>
        <v>4</v>
      </c>
      <c r="EE53" s="38">
        <f>AVERAGE(ED$6:ED53)</f>
        <v>4.7368421052631575</v>
      </c>
      <c r="EF53" s="32"/>
      <c r="EG53" s="9"/>
      <c r="EH53" s="32"/>
      <c r="EI53" s="9">
        <v>38</v>
      </c>
      <c r="EJ53" s="7">
        <v>0.45231721445452422</v>
      </c>
      <c r="EK53" s="9">
        <f t="shared" si="16"/>
        <v>5</v>
      </c>
      <c r="EL53" s="38">
        <f>AVERAGE(EK$6:EK53)</f>
        <v>4.4736842105263159</v>
      </c>
      <c r="EM53" s="32"/>
      <c r="EN53" s="9"/>
      <c r="EO53" s="32"/>
      <c r="EP53" s="9">
        <v>38</v>
      </c>
      <c r="EQ53" s="7">
        <v>0.24404754201532342</v>
      </c>
      <c r="ER53" s="9">
        <f t="shared" si="17"/>
        <v>3</v>
      </c>
      <c r="ES53" s="38">
        <f>AVERAGE(ER$6:ER53)</f>
        <v>4.5</v>
      </c>
      <c r="ET53" s="32"/>
    </row>
    <row r="54" spans="5:150" x14ac:dyDescent="0.25">
      <c r="E54" s="7"/>
      <c r="L54" s="32"/>
      <c r="M54" s="9">
        <v>39</v>
      </c>
      <c r="N54" s="7">
        <v>0.67767227278091013</v>
      </c>
      <c r="O54" s="9">
        <f t="shared" si="21"/>
        <v>6</v>
      </c>
      <c r="P54" s="38">
        <f>AVERAGE(O$6:O54)</f>
        <v>5.1282051282051286</v>
      </c>
      <c r="Q54" s="32"/>
      <c r="R54" s="9"/>
      <c r="S54" s="32"/>
      <c r="T54" s="9">
        <v>39</v>
      </c>
      <c r="U54" s="7">
        <v>0.7541470771539025</v>
      </c>
      <c r="V54" s="9">
        <f t="shared" si="0"/>
        <v>6</v>
      </c>
      <c r="W54" s="38">
        <f>AVERAGE(V$6:V54)</f>
        <v>4.2820512820512819</v>
      </c>
      <c r="X54" s="32"/>
      <c r="Y54" s="9"/>
      <c r="Z54" s="32"/>
      <c r="AA54" s="9">
        <v>39</v>
      </c>
      <c r="AB54" s="7">
        <v>0.37358988344203681</v>
      </c>
      <c r="AC54" s="9">
        <f t="shared" si="1"/>
        <v>4</v>
      </c>
      <c r="AD54" s="38">
        <f>AVERAGE(AC$6:AC54)</f>
        <v>4.6410256410256414</v>
      </c>
      <c r="AE54" s="32"/>
      <c r="AF54" s="9"/>
      <c r="AG54" s="32"/>
      <c r="AH54" s="9">
        <v>39</v>
      </c>
      <c r="AI54" s="7">
        <v>0.18372753966832533</v>
      </c>
      <c r="AJ54" s="9">
        <f t="shared" si="2"/>
        <v>3</v>
      </c>
      <c r="AK54" s="38">
        <f>AVERAGE(AJ$6:AJ54)</f>
        <v>5.2307692307692308</v>
      </c>
      <c r="AL54" s="32"/>
      <c r="AM54" s="9"/>
      <c r="AN54" s="32"/>
      <c r="AO54" s="9">
        <v>39</v>
      </c>
      <c r="AP54" s="7">
        <v>0.89970368705689907</v>
      </c>
      <c r="AQ54" s="9">
        <f t="shared" si="3"/>
        <v>8</v>
      </c>
      <c r="AR54" s="38">
        <f>AVERAGE(AQ$6:AQ54)</f>
        <v>4.8974358974358978</v>
      </c>
      <c r="AS54" s="32"/>
      <c r="AT54" s="9"/>
      <c r="AU54" s="32"/>
      <c r="AV54" s="9">
        <v>39</v>
      </c>
      <c r="AW54" s="7">
        <v>0.63601587322773412</v>
      </c>
      <c r="AX54" s="9">
        <f t="shared" si="4"/>
        <v>6</v>
      </c>
      <c r="AY54" s="38">
        <f>AVERAGE(AX$6:AX54)</f>
        <v>4.7948717948717947</v>
      </c>
      <c r="AZ54" s="32"/>
      <c r="BA54" s="9"/>
      <c r="BB54" s="32"/>
      <c r="BC54" s="9">
        <v>39</v>
      </c>
      <c r="BD54" s="7">
        <v>0.55125272073200904</v>
      </c>
      <c r="BE54" s="9">
        <f t="shared" si="5"/>
        <v>5</v>
      </c>
      <c r="BF54" s="38">
        <f>AVERAGE(BE$6:BE54)</f>
        <v>5.0256410256410255</v>
      </c>
      <c r="BG54" s="32"/>
      <c r="BH54" s="9"/>
      <c r="BI54" s="32"/>
      <c r="BJ54" s="9">
        <v>39</v>
      </c>
      <c r="BK54" s="7">
        <v>0.89788685890380293</v>
      </c>
      <c r="BL54" s="9">
        <f t="shared" si="6"/>
        <v>8</v>
      </c>
      <c r="BM54" s="38">
        <f>AVERAGE(BL$6:BL54)</f>
        <v>5.1282051282051286</v>
      </c>
      <c r="BN54" s="32"/>
      <c r="BO54" s="9"/>
      <c r="BP54" s="32"/>
      <c r="BQ54" s="9">
        <v>39</v>
      </c>
      <c r="BR54" s="7">
        <v>0.75775460386648774</v>
      </c>
      <c r="BS54" s="9">
        <f t="shared" si="7"/>
        <v>6</v>
      </c>
      <c r="BT54" s="38">
        <f>AVERAGE(BS$6:BS54)</f>
        <v>4.8717948717948714</v>
      </c>
      <c r="BU54" s="32"/>
      <c r="BV54" s="9"/>
      <c r="BW54" s="32"/>
      <c r="BX54" s="9">
        <v>39</v>
      </c>
      <c r="BY54" s="7">
        <v>0.47973623982397839</v>
      </c>
      <c r="BZ54" s="9">
        <f t="shared" si="8"/>
        <v>5</v>
      </c>
      <c r="CA54" s="38">
        <f>AVERAGE(BZ$6:BZ54)</f>
        <v>4.0256410256410255</v>
      </c>
      <c r="CB54" s="32"/>
      <c r="CC54" s="9"/>
      <c r="CD54" s="32"/>
      <c r="CE54" s="9">
        <v>39</v>
      </c>
      <c r="CF54" s="7">
        <v>7.5361166847869754E-2</v>
      </c>
      <c r="CG54" s="9">
        <f t="shared" si="22"/>
        <v>2</v>
      </c>
      <c r="CH54" s="38">
        <f>AVERAGE(CG$6:CG54)</f>
        <v>4.5384615384615383</v>
      </c>
      <c r="CI54" s="32"/>
      <c r="CJ54" s="9"/>
      <c r="CK54" s="32"/>
      <c r="CL54" s="9">
        <v>39</v>
      </c>
      <c r="CM54" s="7">
        <v>6.4145982352783903E-2</v>
      </c>
      <c r="CN54" s="9">
        <f t="shared" si="9"/>
        <v>2</v>
      </c>
      <c r="CO54" s="38">
        <f>AVERAGE(CN$6:CN54)</f>
        <v>4.5384615384615383</v>
      </c>
      <c r="CP54" s="32"/>
      <c r="CQ54" s="9"/>
      <c r="CR54" s="32"/>
      <c r="CS54" s="9">
        <v>39</v>
      </c>
      <c r="CT54" s="7">
        <v>0.14813947179936804</v>
      </c>
      <c r="CU54" s="9">
        <f t="shared" si="10"/>
        <v>3</v>
      </c>
      <c r="CV54" s="38">
        <f>AVERAGE(CU$6:CU54)</f>
        <v>5</v>
      </c>
      <c r="CW54" s="32"/>
      <c r="CX54" s="9"/>
      <c r="CY54" s="32"/>
      <c r="CZ54" s="9">
        <v>39</v>
      </c>
      <c r="DA54" s="7">
        <v>0.91788255251594819</v>
      </c>
      <c r="DB54" s="9">
        <f t="shared" si="11"/>
        <v>8</v>
      </c>
      <c r="DC54" s="38">
        <f>AVERAGE(DB$6:DB54)</f>
        <v>4.6410256410256414</v>
      </c>
      <c r="DD54" s="32"/>
      <c r="DE54" s="9"/>
      <c r="DF54" s="32"/>
      <c r="DG54" s="9">
        <v>39</v>
      </c>
      <c r="DH54" s="7">
        <v>0.77962996874703094</v>
      </c>
      <c r="DI54" s="9">
        <f t="shared" si="12"/>
        <v>7</v>
      </c>
      <c r="DJ54" s="38">
        <f>AVERAGE(DI$6:DI54)</f>
        <v>5.4358974358974361</v>
      </c>
      <c r="DK54" s="32"/>
      <c r="DL54" s="9"/>
      <c r="DM54" s="32"/>
      <c r="DN54" s="9">
        <v>39</v>
      </c>
      <c r="DO54" s="7">
        <v>0.90053619322134182</v>
      </c>
      <c r="DP54" s="9">
        <f t="shared" si="13"/>
        <v>8</v>
      </c>
      <c r="DQ54" s="38">
        <f>AVERAGE(DP$6:DP54)</f>
        <v>5.2564102564102564</v>
      </c>
      <c r="DR54" s="32"/>
      <c r="DS54" s="9"/>
      <c r="DT54" s="32"/>
      <c r="DU54" s="9">
        <v>39</v>
      </c>
      <c r="DV54" s="7">
        <v>0.73526139176101424</v>
      </c>
      <c r="DW54" s="9">
        <f t="shared" si="14"/>
        <v>6</v>
      </c>
      <c r="DX54" s="38">
        <f>AVERAGE(DW$6:DW54)</f>
        <v>4.6923076923076925</v>
      </c>
      <c r="DY54" s="32"/>
      <c r="DZ54" s="9"/>
      <c r="EA54" s="32"/>
      <c r="EB54" s="9">
        <v>39</v>
      </c>
      <c r="EC54" s="7">
        <v>0.43626301211770624</v>
      </c>
      <c r="ED54" s="9">
        <f t="shared" si="15"/>
        <v>4</v>
      </c>
      <c r="EE54" s="38">
        <f>AVERAGE(ED$6:ED54)</f>
        <v>4.7179487179487181</v>
      </c>
      <c r="EF54" s="32"/>
      <c r="EG54" s="9"/>
      <c r="EH54" s="32"/>
      <c r="EI54" s="9">
        <v>39</v>
      </c>
      <c r="EJ54" s="7">
        <v>0.94336544410907663</v>
      </c>
      <c r="EK54" s="9">
        <f t="shared" si="16"/>
        <v>9</v>
      </c>
      <c r="EL54" s="38">
        <f>AVERAGE(EK$6:EK54)</f>
        <v>4.5897435897435894</v>
      </c>
      <c r="EM54" s="32"/>
      <c r="EN54" s="9"/>
      <c r="EO54" s="32"/>
      <c r="EP54" s="9">
        <v>39</v>
      </c>
      <c r="EQ54" s="7">
        <v>0.68448413792066276</v>
      </c>
      <c r="ER54" s="9">
        <f t="shared" si="17"/>
        <v>6</v>
      </c>
      <c r="ES54" s="38">
        <f>AVERAGE(ER$6:ER54)</f>
        <v>4.5384615384615383</v>
      </c>
      <c r="ET54" s="32"/>
    </row>
    <row r="55" spans="5:150" x14ac:dyDescent="0.25">
      <c r="E55" s="7"/>
      <c r="L55" s="32"/>
      <c r="M55" s="9">
        <v>40</v>
      </c>
      <c r="N55" s="7">
        <v>1.2204821978230029E-3</v>
      </c>
      <c r="O55" s="9">
        <f t="shared" si="21"/>
        <v>0</v>
      </c>
      <c r="P55" s="38">
        <f>AVERAGE(O$6:O55)</f>
        <v>5</v>
      </c>
      <c r="Q55" s="32"/>
      <c r="R55" s="9"/>
      <c r="S55" s="32"/>
      <c r="T55" s="9">
        <v>40</v>
      </c>
      <c r="U55" s="7">
        <v>0.38574473428889178</v>
      </c>
      <c r="V55" s="9">
        <f t="shared" si="0"/>
        <v>4</v>
      </c>
      <c r="W55" s="38">
        <f>AVERAGE(V$6:V55)</f>
        <v>4.2750000000000004</v>
      </c>
      <c r="X55" s="32"/>
      <c r="Y55" s="9"/>
      <c r="Z55" s="32"/>
      <c r="AA55" s="9">
        <v>40</v>
      </c>
      <c r="AB55" s="7">
        <v>0.39878997267805971</v>
      </c>
      <c r="AC55" s="9">
        <f t="shared" si="1"/>
        <v>4</v>
      </c>
      <c r="AD55" s="38">
        <f>AVERAGE(AC$6:AC55)</f>
        <v>4.625</v>
      </c>
      <c r="AE55" s="32"/>
      <c r="AF55" s="9"/>
      <c r="AG55" s="32"/>
      <c r="AH55" s="9">
        <v>40</v>
      </c>
      <c r="AI55" s="7">
        <v>0.61968292921665125</v>
      </c>
      <c r="AJ55" s="9">
        <f t="shared" si="2"/>
        <v>6</v>
      </c>
      <c r="AK55" s="38">
        <f>AVERAGE(AJ$6:AJ55)</f>
        <v>5.25</v>
      </c>
      <c r="AL55" s="32"/>
      <c r="AM55" s="9"/>
      <c r="AN55" s="32"/>
      <c r="AO55" s="9">
        <v>40</v>
      </c>
      <c r="AP55" s="7">
        <v>0.34739883433212526</v>
      </c>
      <c r="AQ55" s="9">
        <f t="shared" si="3"/>
        <v>4</v>
      </c>
      <c r="AR55" s="38">
        <f>AVERAGE(AQ$6:AQ55)</f>
        <v>4.875</v>
      </c>
      <c r="AS55" s="32"/>
      <c r="AT55" s="9"/>
      <c r="AU55" s="32"/>
      <c r="AV55" s="9">
        <v>40</v>
      </c>
      <c r="AW55" s="7">
        <v>0.54817471231217496</v>
      </c>
      <c r="AX55" s="9">
        <f t="shared" si="4"/>
        <v>5</v>
      </c>
      <c r="AY55" s="38">
        <f>AVERAGE(AX$6:AX55)</f>
        <v>4.8</v>
      </c>
      <c r="AZ55" s="32"/>
      <c r="BA55" s="9"/>
      <c r="BB55" s="32"/>
      <c r="BC55" s="9">
        <v>40</v>
      </c>
      <c r="BD55" s="7">
        <v>0.89515117701375857</v>
      </c>
      <c r="BE55" s="9">
        <f t="shared" si="5"/>
        <v>8</v>
      </c>
      <c r="BF55" s="38">
        <f>AVERAGE(BE$6:BE55)</f>
        <v>5.0999999999999996</v>
      </c>
      <c r="BG55" s="32"/>
      <c r="BH55" s="9"/>
      <c r="BI55" s="32"/>
      <c r="BJ55" s="9">
        <v>40</v>
      </c>
      <c r="BK55" s="7">
        <v>0.41173233548761345</v>
      </c>
      <c r="BL55" s="9">
        <f t="shared" si="6"/>
        <v>4</v>
      </c>
      <c r="BM55" s="38">
        <f>AVERAGE(BL$6:BL55)</f>
        <v>5.0999999999999996</v>
      </c>
      <c r="BN55" s="32"/>
      <c r="BO55" s="9"/>
      <c r="BP55" s="32"/>
      <c r="BQ55" s="9">
        <v>40</v>
      </c>
      <c r="BR55" s="7">
        <v>0.24362099127029069</v>
      </c>
      <c r="BS55" s="9">
        <f t="shared" si="7"/>
        <v>3</v>
      </c>
      <c r="BT55" s="38">
        <f>AVERAGE(BS$6:BS55)</f>
        <v>4.8250000000000002</v>
      </c>
      <c r="BU55" s="32"/>
      <c r="BV55" s="9"/>
      <c r="BW55" s="32"/>
      <c r="BX55" s="9">
        <v>40</v>
      </c>
      <c r="BY55" s="7">
        <v>6.4163509377976879E-2</v>
      </c>
      <c r="BZ55" s="9">
        <f t="shared" si="8"/>
        <v>2</v>
      </c>
      <c r="CA55" s="38">
        <f>AVERAGE(BZ$6:BZ55)</f>
        <v>3.9750000000000001</v>
      </c>
      <c r="CB55" s="32"/>
      <c r="CC55" s="9"/>
      <c r="CD55" s="32"/>
      <c r="CE55" s="9">
        <v>40</v>
      </c>
      <c r="CF55" s="7">
        <v>0.81100092668202706</v>
      </c>
      <c r="CG55" s="9">
        <f t="shared" si="22"/>
        <v>7</v>
      </c>
      <c r="CH55" s="38">
        <f>AVERAGE(CG$6:CG55)</f>
        <v>4.5999999999999996</v>
      </c>
      <c r="CI55" s="32"/>
      <c r="CJ55" s="9"/>
      <c r="CK55" s="32"/>
      <c r="CL55" s="9">
        <v>40</v>
      </c>
      <c r="CM55" s="7">
        <v>3.5180911712814122E-2</v>
      </c>
      <c r="CN55" s="9">
        <f t="shared" si="9"/>
        <v>1</v>
      </c>
      <c r="CO55" s="38">
        <f>AVERAGE(CN$6:CN55)</f>
        <v>4.45</v>
      </c>
      <c r="CP55" s="32"/>
      <c r="CQ55" s="9"/>
      <c r="CR55" s="32"/>
      <c r="CS55" s="9">
        <v>40</v>
      </c>
      <c r="CT55" s="7">
        <v>0.2918279767036438</v>
      </c>
      <c r="CU55" s="9">
        <f t="shared" si="10"/>
        <v>4</v>
      </c>
      <c r="CV55" s="38">
        <f>AVERAGE(CU$6:CU55)</f>
        <v>4.9749999999999996</v>
      </c>
      <c r="CW55" s="32"/>
      <c r="CX55" s="9"/>
      <c r="CY55" s="32"/>
      <c r="CZ55" s="9">
        <v>40</v>
      </c>
      <c r="DA55" s="7">
        <v>0.70951454574242234</v>
      </c>
      <c r="DB55" s="9">
        <f t="shared" si="11"/>
        <v>6</v>
      </c>
      <c r="DC55" s="38">
        <f>AVERAGE(DB$6:DB55)</f>
        <v>4.6749999999999998</v>
      </c>
      <c r="DD55" s="32"/>
      <c r="DE55" s="9"/>
      <c r="DF55" s="32"/>
      <c r="DG55" s="9">
        <v>40</v>
      </c>
      <c r="DH55" s="7">
        <v>0.5094339047500398</v>
      </c>
      <c r="DI55" s="9">
        <f t="shared" si="12"/>
        <v>5</v>
      </c>
      <c r="DJ55" s="38">
        <f>AVERAGE(DI$6:DI55)</f>
        <v>5.4249999999999998</v>
      </c>
      <c r="DK55" s="32"/>
      <c r="DL55" s="9"/>
      <c r="DM55" s="32"/>
      <c r="DN55" s="9">
        <v>40</v>
      </c>
      <c r="DO55" s="7">
        <v>0.77613950902014039</v>
      </c>
      <c r="DP55" s="9">
        <f t="shared" si="13"/>
        <v>7</v>
      </c>
      <c r="DQ55" s="38">
        <f>AVERAGE(DP$6:DP55)</f>
        <v>5.3</v>
      </c>
      <c r="DR55" s="32"/>
      <c r="DS55" s="9"/>
      <c r="DT55" s="32"/>
      <c r="DU55" s="9">
        <v>40</v>
      </c>
      <c r="DV55" s="7">
        <v>0.6596167569514364</v>
      </c>
      <c r="DW55" s="9">
        <f t="shared" si="14"/>
        <v>6</v>
      </c>
      <c r="DX55" s="38">
        <f>AVERAGE(DW$6:DW55)</f>
        <v>4.7249999999999996</v>
      </c>
      <c r="DY55" s="32"/>
      <c r="DZ55" s="9"/>
      <c r="EA55" s="32"/>
      <c r="EB55" s="9">
        <v>40</v>
      </c>
      <c r="EC55" s="7">
        <v>0.67545124064781703</v>
      </c>
      <c r="ED55" s="9">
        <f t="shared" si="15"/>
        <v>6</v>
      </c>
      <c r="EE55" s="38">
        <f>AVERAGE(ED$6:ED55)</f>
        <v>4.75</v>
      </c>
      <c r="EF55" s="32"/>
      <c r="EG55" s="9"/>
      <c r="EH55" s="32"/>
      <c r="EI55" s="9">
        <v>40</v>
      </c>
      <c r="EJ55" s="7">
        <v>0.83320371620357037</v>
      </c>
      <c r="EK55" s="9">
        <f t="shared" si="16"/>
        <v>7</v>
      </c>
      <c r="EL55" s="38">
        <f>AVERAGE(EK$6:EK55)</f>
        <v>4.6500000000000004</v>
      </c>
      <c r="EM55" s="32"/>
      <c r="EN55" s="9"/>
      <c r="EO55" s="32"/>
      <c r="EP55" s="9">
        <v>40</v>
      </c>
      <c r="EQ55" s="7">
        <v>0.50933102917042561</v>
      </c>
      <c r="ER55" s="9">
        <f t="shared" si="17"/>
        <v>5</v>
      </c>
      <c r="ES55" s="38">
        <f>AVERAGE(ER$6:ER55)</f>
        <v>4.55</v>
      </c>
      <c r="ET55" s="32"/>
    </row>
    <row r="56" spans="5:150" x14ac:dyDescent="0.25">
      <c r="E56" s="7"/>
      <c r="L56" s="32">
        <v>6</v>
      </c>
      <c r="M56" s="9">
        <v>41</v>
      </c>
      <c r="N56" s="7">
        <v>0.62854833190795034</v>
      </c>
      <c r="O56" s="9">
        <f t="shared" si="21"/>
        <v>6</v>
      </c>
      <c r="P56" s="38">
        <f>AVERAGE(O$6:O56)</f>
        <v>5.024390243902439</v>
      </c>
      <c r="Q56" s="32">
        <f t="shared" ref="Q56" si="104">SUM(O56:O63)</f>
        <v>38</v>
      </c>
      <c r="R56" s="9"/>
      <c r="S56" s="32">
        <v>6</v>
      </c>
      <c r="T56" s="9">
        <v>41</v>
      </c>
      <c r="U56" s="7">
        <v>0.65853815880836919</v>
      </c>
      <c r="V56" s="9">
        <f t="shared" si="0"/>
        <v>6</v>
      </c>
      <c r="W56" s="38">
        <f>AVERAGE(V$6:V56)</f>
        <v>4.3170731707317076</v>
      </c>
      <c r="X56" s="32">
        <f t="shared" ref="X56" si="105">SUM(V56:V63)</f>
        <v>43</v>
      </c>
      <c r="Y56" s="9"/>
      <c r="Z56" s="32">
        <v>6</v>
      </c>
      <c r="AA56" s="9">
        <v>41</v>
      </c>
      <c r="AB56" s="7">
        <v>0.37683592922985554</v>
      </c>
      <c r="AC56" s="9">
        <f t="shared" si="1"/>
        <v>4</v>
      </c>
      <c r="AD56" s="38">
        <f>AVERAGE(AC$6:AC56)</f>
        <v>4.6097560975609753</v>
      </c>
      <c r="AE56" s="32">
        <f t="shared" ref="AE56" si="106">SUM(AC56:AC63)</f>
        <v>37</v>
      </c>
      <c r="AF56" s="9"/>
      <c r="AG56" s="32">
        <v>6</v>
      </c>
      <c r="AH56" s="9">
        <v>41</v>
      </c>
      <c r="AI56" s="7">
        <v>0.1367085466044955</v>
      </c>
      <c r="AJ56" s="9">
        <f t="shared" si="2"/>
        <v>3</v>
      </c>
      <c r="AK56" s="38">
        <f>AVERAGE(AJ$6:AJ56)</f>
        <v>5.1951219512195124</v>
      </c>
      <c r="AL56" s="32">
        <f t="shared" ref="AL56" si="107">SUM(AJ56:AJ63)</f>
        <v>27</v>
      </c>
      <c r="AM56" s="9"/>
      <c r="AN56" s="32">
        <v>6</v>
      </c>
      <c r="AO56" s="9">
        <v>41</v>
      </c>
      <c r="AP56" s="7">
        <v>0.91039968107361346</v>
      </c>
      <c r="AQ56" s="9">
        <f t="shared" si="3"/>
        <v>8</v>
      </c>
      <c r="AR56" s="38">
        <f>AVERAGE(AQ$6:AQ56)</f>
        <v>4.9512195121951219</v>
      </c>
      <c r="AS56" s="32">
        <f t="shared" ref="AS56" si="108">SUM(AQ56:AQ63)</f>
        <v>43</v>
      </c>
      <c r="AT56" s="9"/>
      <c r="AU56" s="32">
        <v>6</v>
      </c>
      <c r="AV56" s="9">
        <v>41</v>
      </c>
      <c r="AW56" s="7">
        <v>0.30997684079920873</v>
      </c>
      <c r="AX56" s="9">
        <f t="shared" si="4"/>
        <v>4</v>
      </c>
      <c r="AY56" s="38">
        <f>AVERAGE(AX$6:AX56)</f>
        <v>4.7804878048780486</v>
      </c>
      <c r="AZ56" s="32">
        <f t="shared" ref="AZ56" si="109">SUM(AX56:AX63)</f>
        <v>45</v>
      </c>
      <c r="BA56" s="9"/>
      <c r="BB56" s="32">
        <v>6</v>
      </c>
      <c r="BC56" s="9">
        <v>41</v>
      </c>
      <c r="BD56" s="7">
        <v>2.8561621147673577E-3</v>
      </c>
      <c r="BE56" s="9">
        <f t="shared" si="5"/>
        <v>0</v>
      </c>
      <c r="BF56" s="38">
        <f>AVERAGE(BE$6:BE56)</f>
        <v>4.975609756097561</v>
      </c>
      <c r="BG56" s="32">
        <f t="shared" ref="BG56" si="110">SUM(BE56:BE63)</f>
        <v>39</v>
      </c>
      <c r="BH56" s="9"/>
      <c r="BI56" s="32">
        <v>6</v>
      </c>
      <c r="BJ56" s="9">
        <v>41</v>
      </c>
      <c r="BK56" s="7">
        <v>4.2152776150032878E-2</v>
      </c>
      <c r="BL56" s="9">
        <f t="shared" si="6"/>
        <v>2</v>
      </c>
      <c r="BM56" s="38">
        <f>AVERAGE(BL$6:BL56)</f>
        <v>5.024390243902439</v>
      </c>
      <c r="BN56" s="32">
        <f t="shared" ref="BN56" si="111">SUM(BL56:BL63)</f>
        <v>46</v>
      </c>
      <c r="BO56" s="9"/>
      <c r="BP56" s="32">
        <v>6</v>
      </c>
      <c r="BQ56" s="9">
        <v>41</v>
      </c>
      <c r="BR56" s="7">
        <v>0.46481050422880799</v>
      </c>
      <c r="BS56" s="9">
        <f t="shared" si="7"/>
        <v>5</v>
      </c>
      <c r="BT56" s="38">
        <f>AVERAGE(BS$6:BS56)</f>
        <v>4.8292682926829267</v>
      </c>
      <c r="BU56" s="32">
        <f t="shared" ref="BU56" si="112">SUM(BS56:BS63)</f>
        <v>36</v>
      </c>
      <c r="BV56" s="9"/>
      <c r="BW56" s="32">
        <v>6</v>
      </c>
      <c r="BX56" s="9">
        <v>41</v>
      </c>
      <c r="BY56" s="7">
        <v>4.4207329687196761E-2</v>
      </c>
      <c r="BZ56" s="9">
        <f t="shared" si="8"/>
        <v>2</v>
      </c>
      <c r="CA56" s="38">
        <f>AVERAGE(BZ$6:BZ56)</f>
        <v>3.9268292682926829</v>
      </c>
      <c r="CB56" s="32">
        <f t="shared" ref="CB56" si="113">SUM(BZ56:BZ63)</f>
        <v>47</v>
      </c>
      <c r="CC56" s="9"/>
      <c r="CD56" s="32">
        <v>6</v>
      </c>
      <c r="CE56" s="9">
        <v>41</v>
      </c>
      <c r="CF56" s="7">
        <v>0.66547724127303809</v>
      </c>
      <c r="CG56" s="9">
        <f t="shared" si="22"/>
        <v>6</v>
      </c>
      <c r="CH56" s="38">
        <f>AVERAGE(CG$6:CG56)</f>
        <v>4.6341463414634143</v>
      </c>
      <c r="CI56" s="32">
        <f t="shared" ref="CI56" si="114">SUM(CG56:CG63)</f>
        <v>45</v>
      </c>
      <c r="CJ56" s="9"/>
      <c r="CK56" s="32">
        <v>6</v>
      </c>
      <c r="CL56" s="9">
        <v>41</v>
      </c>
      <c r="CM56" s="7">
        <v>0.11816953212837689</v>
      </c>
      <c r="CN56" s="9">
        <f t="shared" si="9"/>
        <v>2</v>
      </c>
      <c r="CO56" s="38">
        <f>AVERAGE(CN$6:CN56)</f>
        <v>4.3902439024390247</v>
      </c>
      <c r="CP56" s="32">
        <f t="shared" ref="CP56" si="115">SUM(CN56:CN63)</f>
        <v>42</v>
      </c>
      <c r="CQ56" s="9"/>
      <c r="CR56" s="32">
        <v>6</v>
      </c>
      <c r="CS56" s="9">
        <v>41</v>
      </c>
      <c r="CT56" s="7">
        <v>0.29140800240566023</v>
      </c>
      <c r="CU56" s="9">
        <f t="shared" si="10"/>
        <v>4</v>
      </c>
      <c r="CV56" s="38">
        <f>AVERAGE(CU$6:CU56)</f>
        <v>4.9512195121951219</v>
      </c>
      <c r="CW56" s="32">
        <f t="shared" ref="CW56" si="116">SUM(CU56:CU63)</f>
        <v>30</v>
      </c>
      <c r="CX56" s="9"/>
      <c r="CY56" s="32">
        <v>6</v>
      </c>
      <c r="CZ56" s="9">
        <v>41</v>
      </c>
      <c r="DA56" s="7">
        <v>0.39999105737661012</v>
      </c>
      <c r="DB56" s="9">
        <f t="shared" si="11"/>
        <v>4</v>
      </c>
      <c r="DC56" s="38">
        <f>AVERAGE(DB$6:DB56)</f>
        <v>4.6585365853658534</v>
      </c>
      <c r="DD56" s="32">
        <f t="shared" ref="DD56" si="117">SUM(DB56:DB63)</f>
        <v>45</v>
      </c>
      <c r="DE56" s="9"/>
      <c r="DF56" s="32">
        <v>6</v>
      </c>
      <c r="DG56" s="9">
        <v>41</v>
      </c>
      <c r="DH56" s="7">
        <v>0.35846094629960135</v>
      </c>
      <c r="DI56" s="9">
        <f t="shared" si="12"/>
        <v>4</v>
      </c>
      <c r="DJ56" s="38">
        <f>AVERAGE(DI$6:DI56)</f>
        <v>5.3902439024390247</v>
      </c>
      <c r="DK56" s="32">
        <f t="shared" ref="DK56" si="118">SUM(DI56:DI63)</f>
        <v>48</v>
      </c>
      <c r="DL56" s="9"/>
      <c r="DM56" s="32">
        <v>6</v>
      </c>
      <c r="DN56" s="9">
        <v>41</v>
      </c>
      <c r="DO56" s="7">
        <v>0.71184714540140703</v>
      </c>
      <c r="DP56" s="9">
        <f t="shared" si="13"/>
        <v>6</v>
      </c>
      <c r="DQ56" s="38">
        <f>AVERAGE(DP$6:DP56)</f>
        <v>5.3170731707317076</v>
      </c>
      <c r="DR56" s="32">
        <f t="shared" ref="DR56" si="119">SUM(DP56:DP63)</f>
        <v>41</v>
      </c>
      <c r="DS56" s="9"/>
      <c r="DT56" s="32">
        <v>6</v>
      </c>
      <c r="DU56" s="9">
        <v>41</v>
      </c>
      <c r="DV56" s="7">
        <v>0.70262983001885004</v>
      </c>
      <c r="DW56" s="9">
        <f t="shared" si="14"/>
        <v>6</v>
      </c>
      <c r="DX56" s="38">
        <f>AVERAGE(DW$6:DW56)</f>
        <v>4.7560975609756095</v>
      </c>
      <c r="DY56" s="32">
        <f t="shared" ref="DY56" si="120">SUM(DW56:DW63)</f>
        <v>48</v>
      </c>
      <c r="DZ56" s="9"/>
      <c r="EA56" s="32">
        <v>6</v>
      </c>
      <c r="EB56" s="9">
        <v>41</v>
      </c>
      <c r="EC56" s="7">
        <v>0.85738893365487456</v>
      </c>
      <c r="ED56" s="9">
        <f t="shared" si="15"/>
        <v>7</v>
      </c>
      <c r="EE56" s="38">
        <f>AVERAGE(ED$6:ED56)</f>
        <v>4.8048780487804876</v>
      </c>
      <c r="EF56" s="32">
        <f t="shared" ref="EF56" si="121">SUM(ED56:ED63)</f>
        <v>47</v>
      </c>
      <c r="EG56" s="9"/>
      <c r="EH56" s="32">
        <v>6</v>
      </c>
      <c r="EI56" s="9">
        <v>41</v>
      </c>
      <c r="EJ56" s="7">
        <v>9.9913844867842272E-2</v>
      </c>
      <c r="EK56" s="9">
        <f t="shared" si="16"/>
        <v>2</v>
      </c>
      <c r="EL56" s="38">
        <f>AVERAGE(EK$6:EK56)</f>
        <v>4.5853658536585362</v>
      </c>
      <c r="EM56" s="32">
        <f t="shared" ref="EM56" si="122">SUM(EK56:EK63)</f>
        <v>42</v>
      </c>
      <c r="EN56" s="9"/>
      <c r="EO56" s="32">
        <v>6</v>
      </c>
      <c r="EP56" s="9">
        <v>41</v>
      </c>
      <c r="EQ56" s="7">
        <v>0.30548002279829234</v>
      </c>
      <c r="ER56" s="9">
        <f t="shared" si="17"/>
        <v>4</v>
      </c>
      <c r="ES56" s="38">
        <f>AVERAGE(ER$6:ER56)</f>
        <v>4.5365853658536581</v>
      </c>
      <c r="ET56" s="32">
        <f t="shared" ref="ET56" si="123">SUM(ER56:ER63)</f>
        <v>37</v>
      </c>
    </row>
    <row r="57" spans="5:150" x14ac:dyDescent="0.25">
      <c r="E57" s="7"/>
      <c r="L57" s="32"/>
      <c r="M57" s="9">
        <v>42</v>
      </c>
      <c r="N57" s="7">
        <v>0.70239093262352981</v>
      </c>
      <c r="O57" s="9">
        <f t="shared" si="21"/>
        <v>6</v>
      </c>
      <c r="P57" s="38">
        <f>AVERAGE(O$6:O57)</f>
        <v>5.0476190476190474</v>
      </c>
      <c r="Q57" s="32"/>
      <c r="R57" s="9"/>
      <c r="S57" s="32"/>
      <c r="T57" s="9">
        <v>42</v>
      </c>
      <c r="U57" s="7">
        <v>0.14715178633923642</v>
      </c>
      <c r="V57" s="9">
        <f t="shared" si="0"/>
        <v>3</v>
      </c>
      <c r="W57" s="38">
        <f>AVERAGE(V$6:V57)</f>
        <v>4.2857142857142856</v>
      </c>
      <c r="X57" s="32"/>
      <c r="Y57" s="9"/>
      <c r="Z57" s="32"/>
      <c r="AA57" s="9">
        <v>42</v>
      </c>
      <c r="AB57" s="7">
        <v>7.0503553404705599E-2</v>
      </c>
      <c r="AC57" s="9">
        <f t="shared" si="1"/>
        <v>2</v>
      </c>
      <c r="AD57" s="38">
        <f>AVERAGE(AC$6:AC57)</f>
        <v>4.5476190476190474</v>
      </c>
      <c r="AE57" s="32"/>
      <c r="AF57" s="9"/>
      <c r="AG57" s="32"/>
      <c r="AH57" s="9">
        <v>42</v>
      </c>
      <c r="AI57" s="7">
        <v>0.40490150134428404</v>
      </c>
      <c r="AJ57" s="9">
        <f t="shared" si="2"/>
        <v>4</v>
      </c>
      <c r="AK57" s="38">
        <f>AVERAGE(AJ$6:AJ57)</f>
        <v>5.166666666666667</v>
      </c>
      <c r="AL57" s="32"/>
      <c r="AM57" s="9"/>
      <c r="AN57" s="32"/>
      <c r="AO57" s="9">
        <v>42</v>
      </c>
      <c r="AP57" s="7">
        <v>0.85583575294003822</v>
      </c>
      <c r="AQ57" s="9">
        <f t="shared" si="3"/>
        <v>7</v>
      </c>
      <c r="AR57" s="38">
        <f>AVERAGE(AQ$6:AQ57)</f>
        <v>5</v>
      </c>
      <c r="AS57" s="32"/>
      <c r="AT57" s="9"/>
      <c r="AU57" s="32"/>
      <c r="AV57" s="9">
        <v>42</v>
      </c>
      <c r="AW57" s="7">
        <v>0.63807301162160002</v>
      </c>
      <c r="AX57" s="9">
        <f t="shared" si="4"/>
        <v>6</v>
      </c>
      <c r="AY57" s="38">
        <f>AVERAGE(AX$6:AX57)</f>
        <v>4.8095238095238093</v>
      </c>
      <c r="AZ57" s="32"/>
      <c r="BA57" s="9"/>
      <c r="BB57" s="32"/>
      <c r="BC57" s="9">
        <v>42</v>
      </c>
      <c r="BD57" s="7">
        <v>0.47092348913429305</v>
      </c>
      <c r="BE57" s="9">
        <f t="shared" si="5"/>
        <v>5</v>
      </c>
      <c r="BF57" s="38">
        <f>AVERAGE(BE$6:BE57)</f>
        <v>4.9761904761904763</v>
      </c>
      <c r="BG57" s="32"/>
      <c r="BH57" s="9"/>
      <c r="BI57" s="32"/>
      <c r="BJ57" s="9">
        <v>42</v>
      </c>
      <c r="BK57" s="7">
        <v>0.70867971729603596</v>
      </c>
      <c r="BL57" s="9">
        <f t="shared" si="6"/>
        <v>6</v>
      </c>
      <c r="BM57" s="38">
        <f>AVERAGE(BL$6:BL57)</f>
        <v>5.0476190476190474</v>
      </c>
      <c r="BN57" s="32"/>
      <c r="BO57" s="9"/>
      <c r="BP57" s="32"/>
      <c r="BQ57" s="9">
        <v>42</v>
      </c>
      <c r="BR57" s="7">
        <v>0.37740967786521651</v>
      </c>
      <c r="BS57" s="9">
        <f t="shared" si="7"/>
        <v>4</v>
      </c>
      <c r="BT57" s="38">
        <f>AVERAGE(BS$6:BS57)</f>
        <v>4.8095238095238093</v>
      </c>
      <c r="BU57" s="32"/>
      <c r="BV57" s="9"/>
      <c r="BW57" s="32"/>
      <c r="BX57" s="9">
        <v>42</v>
      </c>
      <c r="BY57" s="7">
        <v>0.76677478893543594</v>
      </c>
      <c r="BZ57" s="9">
        <f t="shared" si="8"/>
        <v>7</v>
      </c>
      <c r="CA57" s="38">
        <f>AVERAGE(BZ$6:BZ57)</f>
        <v>4</v>
      </c>
      <c r="CB57" s="32"/>
      <c r="CC57" s="9"/>
      <c r="CD57" s="32"/>
      <c r="CE57" s="9">
        <v>42</v>
      </c>
      <c r="CF57" s="7">
        <v>0.72077925564371981</v>
      </c>
      <c r="CG57" s="9">
        <f t="shared" si="22"/>
        <v>6</v>
      </c>
      <c r="CH57" s="38">
        <f>AVERAGE(CG$6:CG57)</f>
        <v>4.666666666666667</v>
      </c>
      <c r="CI57" s="32"/>
      <c r="CJ57" s="9"/>
      <c r="CK57" s="32"/>
      <c r="CL57" s="9">
        <v>42</v>
      </c>
      <c r="CM57" s="7">
        <v>0.85730904614320025</v>
      </c>
      <c r="CN57" s="9">
        <f t="shared" si="9"/>
        <v>7</v>
      </c>
      <c r="CO57" s="38">
        <f>AVERAGE(CN$6:CN57)</f>
        <v>4.4523809523809526</v>
      </c>
      <c r="CP57" s="32"/>
      <c r="CQ57" s="9"/>
      <c r="CR57" s="32"/>
      <c r="CS57" s="9">
        <v>42</v>
      </c>
      <c r="CT57" s="7">
        <v>7.5121238944120705E-2</v>
      </c>
      <c r="CU57" s="9">
        <f t="shared" si="10"/>
        <v>2</v>
      </c>
      <c r="CV57" s="38">
        <f>AVERAGE(CU$6:CU57)</f>
        <v>4.8809523809523814</v>
      </c>
      <c r="CW57" s="32"/>
      <c r="CX57" s="9"/>
      <c r="CY57" s="32"/>
      <c r="CZ57" s="9">
        <v>42</v>
      </c>
      <c r="DA57" s="7">
        <v>0.99539454898331314</v>
      </c>
      <c r="DB57" s="9">
        <f t="shared" si="11"/>
        <v>12</v>
      </c>
      <c r="DC57" s="38">
        <f>AVERAGE(DB$6:DB57)</f>
        <v>4.833333333333333</v>
      </c>
      <c r="DD57" s="32"/>
      <c r="DE57" s="9"/>
      <c r="DF57" s="32"/>
      <c r="DG57" s="9">
        <v>42</v>
      </c>
      <c r="DH57" s="7">
        <v>0.60738734432379715</v>
      </c>
      <c r="DI57" s="9">
        <f t="shared" si="12"/>
        <v>5</v>
      </c>
      <c r="DJ57" s="38">
        <f>AVERAGE(DI$6:DI57)</f>
        <v>5.3809523809523814</v>
      </c>
      <c r="DK57" s="32"/>
      <c r="DL57" s="9"/>
      <c r="DM57" s="32"/>
      <c r="DN57" s="9">
        <v>42</v>
      </c>
      <c r="DO57" s="7">
        <v>0.60127988175372593</v>
      </c>
      <c r="DP57" s="9">
        <f t="shared" si="13"/>
        <v>5</v>
      </c>
      <c r="DQ57" s="38">
        <f>AVERAGE(DP$6:DP57)</f>
        <v>5.3095238095238093</v>
      </c>
      <c r="DR57" s="32"/>
      <c r="DS57" s="9"/>
      <c r="DT57" s="32"/>
      <c r="DU57" s="9">
        <v>42</v>
      </c>
      <c r="DV57" s="7">
        <v>0.85436245973687619</v>
      </c>
      <c r="DW57" s="9">
        <f t="shared" si="14"/>
        <v>7</v>
      </c>
      <c r="DX57" s="38">
        <f>AVERAGE(DW$6:DW57)</f>
        <v>4.8095238095238093</v>
      </c>
      <c r="DY57" s="32"/>
      <c r="DZ57" s="9"/>
      <c r="EA57" s="32"/>
      <c r="EB57" s="9">
        <v>42</v>
      </c>
      <c r="EC57" s="7">
        <v>0.55530083228950389</v>
      </c>
      <c r="ED57" s="9">
        <f t="shared" si="15"/>
        <v>5</v>
      </c>
      <c r="EE57" s="38">
        <f>AVERAGE(ED$6:ED57)</f>
        <v>4.8095238095238093</v>
      </c>
      <c r="EF57" s="32"/>
      <c r="EG57" s="9"/>
      <c r="EH57" s="32"/>
      <c r="EI57" s="9">
        <v>42</v>
      </c>
      <c r="EJ57" s="7">
        <v>0.45563010696787387</v>
      </c>
      <c r="EK57" s="9">
        <f t="shared" si="16"/>
        <v>5</v>
      </c>
      <c r="EL57" s="38">
        <f>AVERAGE(EK$6:EK57)</f>
        <v>4.5952380952380949</v>
      </c>
      <c r="EM57" s="32"/>
      <c r="EN57" s="9"/>
      <c r="EO57" s="32"/>
      <c r="EP57" s="9">
        <v>42</v>
      </c>
      <c r="EQ57" s="7">
        <v>0.32221174114965834</v>
      </c>
      <c r="ER57" s="9">
        <f t="shared" si="17"/>
        <v>4</v>
      </c>
      <c r="ES57" s="38">
        <f>AVERAGE(ER$6:ER57)</f>
        <v>4.5238095238095237</v>
      </c>
      <c r="ET57" s="32"/>
    </row>
    <row r="58" spans="5:150" x14ac:dyDescent="0.25">
      <c r="E58" s="7"/>
      <c r="L58" s="32"/>
      <c r="M58" s="9">
        <v>43</v>
      </c>
      <c r="N58" s="7">
        <v>0.7313303011469543</v>
      </c>
      <c r="O58" s="9">
        <f t="shared" si="21"/>
        <v>6</v>
      </c>
      <c r="P58" s="38">
        <f>AVERAGE(O$6:O58)</f>
        <v>5.0697674418604652</v>
      </c>
      <c r="Q58" s="32"/>
      <c r="R58" s="9"/>
      <c r="S58" s="32"/>
      <c r="T58" s="9">
        <v>43</v>
      </c>
      <c r="U58" s="7">
        <v>0.78316996473586187</v>
      </c>
      <c r="V58" s="9">
        <f t="shared" si="0"/>
        <v>7</v>
      </c>
      <c r="W58" s="38">
        <f>AVERAGE(V$6:V58)</f>
        <v>4.3488372093023253</v>
      </c>
      <c r="X58" s="32"/>
      <c r="Y58" s="9"/>
      <c r="Z58" s="32"/>
      <c r="AA58" s="9">
        <v>43</v>
      </c>
      <c r="AB58" s="7">
        <v>0.30933000345248729</v>
      </c>
      <c r="AC58" s="9">
        <f t="shared" si="1"/>
        <v>4</v>
      </c>
      <c r="AD58" s="38">
        <f>AVERAGE(AC$6:AC58)</f>
        <v>4.5348837209302326</v>
      </c>
      <c r="AE58" s="32"/>
      <c r="AF58" s="9"/>
      <c r="AG58" s="32"/>
      <c r="AH58" s="9">
        <v>43</v>
      </c>
      <c r="AI58" s="7">
        <v>0.52427319233538583</v>
      </c>
      <c r="AJ58" s="9">
        <f t="shared" si="2"/>
        <v>5</v>
      </c>
      <c r="AK58" s="38">
        <f>AVERAGE(AJ$6:AJ58)</f>
        <v>5.1627906976744189</v>
      </c>
      <c r="AL58" s="32"/>
      <c r="AM58" s="9"/>
      <c r="AN58" s="32"/>
      <c r="AO58" s="9">
        <v>43</v>
      </c>
      <c r="AP58" s="7">
        <v>0.75541276414878666</v>
      </c>
      <c r="AQ58" s="9">
        <f t="shared" si="3"/>
        <v>6</v>
      </c>
      <c r="AR58" s="38">
        <f>AVERAGE(AQ$6:AQ58)</f>
        <v>5.0232558139534884</v>
      </c>
      <c r="AS58" s="32"/>
      <c r="AT58" s="9"/>
      <c r="AU58" s="32"/>
      <c r="AV58" s="9">
        <v>43</v>
      </c>
      <c r="AW58" s="7">
        <v>0.60760098515311256</v>
      </c>
      <c r="AX58" s="9">
        <f t="shared" si="4"/>
        <v>5</v>
      </c>
      <c r="AY58" s="38">
        <f>AVERAGE(AX$6:AX58)</f>
        <v>4.8139534883720927</v>
      </c>
      <c r="AZ58" s="32"/>
      <c r="BA58" s="9"/>
      <c r="BB58" s="32"/>
      <c r="BC58" s="9">
        <v>43</v>
      </c>
      <c r="BD58" s="7">
        <v>0.52559690419002436</v>
      </c>
      <c r="BE58" s="9">
        <f t="shared" si="5"/>
        <v>5</v>
      </c>
      <c r="BF58" s="38">
        <f>AVERAGE(BE$6:BE58)</f>
        <v>4.9767441860465116</v>
      </c>
      <c r="BG58" s="32"/>
      <c r="BH58" s="9"/>
      <c r="BI58" s="32"/>
      <c r="BJ58" s="9">
        <v>43</v>
      </c>
      <c r="BK58" s="7">
        <v>0.97005440748762339</v>
      </c>
      <c r="BL58" s="9">
        <f t="shared" si="6"/>
        <v>10</v>
      </c>
      <c r="BM58" s="38">
        <f>AVERAGE(BL$6:BL58)</f>
        <v>5.1627906976744189</v>
      </c>
      <c r="BN58" s="32"/>
      <c r="BO58" s="9"/>
      <c r="BP58" s="32"/>
      <c r="BQ58" s="9">
        <v>43</v>
      </c>
      <c r="BR58" s="7">
        <v>0.36598410061560571</v>
      </c>
      <c r="BS58" s="9">
        <f t="shared" si="7"/>
        <v>4</v>
      </c>
      <c r="BT58" s="38">
        <f>AVERAGE(BS$6:BS58)</f>
        <v>4.7906976744186043</v>
      </c>
      <c r="BU58" s="32"/>
      <c r="BV58" s="9"/>
      <c r="BW58" s="32"/>
      <c r="BX58" s="9">
        <v>43</v>
      </c>
      <c r="BY58" s="7">
        <v>0.8890163017786108</v>
      </c>
      <c r="BZ58" s="9">
        <f t="shared" si="8"/>
        <v>8</v>
      </c>
      <c r="CA58" s="38">
        <f>AVERAGE(BZ$6:BZ58)</f>
        <v>4.0930232558139537</v>
      </c>
      <c r="CB58" s="32"/>
      <c r="CC58" s="9"/>
      <c r="CD58" s="32"/>
      <c r="CE58" s="9">
        <v>43</v>
      </c>
      <c r="CF58" s="7">
        <v>0.20131665654480457</v>
      </c>
      <c r="CG58" s="9">
        <f t="shared" si="22"/>
        <v>3</v>
      </c>
      <c r="CH58" s="38">
        <f>AVERAGE(CG$6:CG58)</f>
        <v>4.6279069767441863</v>
      </c>
      <c r="CI58" s="32"/>
      <c r="CJ58" s="9"/>
      <c r="CK58" s="32"/>
      <c r="CL58" s="9">
        <v>43</v>
      </c>
      <c r="CM58" s="7">
        <v>0.5141587637772318</v>
      </c>
      <c r="CN58" s="9">
        <f t="shared" si="9"/>
        <v>5</v>
      </c>
      <c r="CO58" s="38">
        <f>AVERAGE(CN$6:CN58)</f>
        <v>4.4651162790697674</v>
      </c>
      <c r="CP58" s="32"/>
      <c r="CQ58" s="9"/>
      <c r="CR58" s="32"/>
      <c r="CS58" s="9">
        <v>43</v>
      </c>
      <c r="CT58" s="7">
        <v>0.68743805625126697</v>
      </c>
      <c r="CU58" s="9">
        <f t="shared" si="10"/>
        <v>6</v>
      </c>
      <c r="CV58" s="38">
        <f>AVERAGE(CU$6:CU58)</f>
        <v>4.9069767441860463</v>
      </c>
      <c r="CW58" s="32"/>
      <c r="CX58" s="9"/>
      <c r="CY58" s="32"/>
      <c r="CZ58" s="9">
        <v>43</v>
      </c>
      <c r="DA58" s="7">
        <v>0.62819272643537261</v>
      </c>
      <c r="DB58" s="9">
        <f t="shared" si="11"/>
        <v>6</v>
      </c>
      <c r="DC58" s="38">
        <f>AVERAGE(DB$6:DB58)</f>
        <v>4.8604651162790695</v>
      </c>
      <c r="DD58" s="32"/>
      <c r="DE58" s="9"/>
      <c r="DF58" s="32"/>
      <c r="DG58" s="9">
        <v>43</v>
      </c>
      <c r="DH58" s="7">
        <v>0.80448232678463683</v>
      </c>
      <c r="DI58" s="9">
        <f t="shared" si="12"/>
        <v>7</v>
      </c>
      <c r="DJ58" s="38">
        <f>AVERAGE(DI$6:DI58)</f>
        <v>5.4186046511627906</v>
      </c>
      <c r="DK58" s="32"/>
      <c r="DL58" s="9"/>
      <c r="DM58" s="32"/>
      <c r="DN58" s="9">
        <v>43</v>
      </c>
      <c r="DO58" s="7">
        <v>0.65913910319795832</v>
      </c>
      <c r="DP58" s="9">
        <f t="shared" si="13"/>
        <v>6</v>
      </c>
      <c r="DQ58" s="38">
        <f>AVERAGE(DP$6:DP58)</f>
        <v>5.3255813953488369</v>
      </c>
      <c r="DR58" s="32"/>
      <c r="DS58" s="9"/>
      <c r="DT58" s="32"/>
      <c r="DU58" s="9">
        <v>43</v>
      </c>
      <c r="DV58" s="7">
        <v>0.99666676452034153</v>
      </c>
      <c r="DW58" s="9">
        <f t="shared" si="14"/>
        <v>12</v>
      </c>
      <c r="DX58" s="38">
        <f>AVERAGE(DW$6:DW58)</f>
        <v>4.9767441860465116</v>
      </c>
      <c r="DY58" s="32"/>
      <c r="DZ58" s="9"/>
      <c r="EA58" s="32"/>
      <c r="EB58" s="9">
        <v>43</v>
      </c>
      <c r="EC58" s="7">
        <v>0.97992862912360579</v>
      </c>
      <c r="ED58" s="9">
        <f t="shared" si="15"/>
        <v>10</v>
      </c>
      <c r="EE58" s="38">
        <f>AVERAGE(ED$6:ED58)</f>
        <v>4.9302325581395348</v>
      </c>
      <c r="EF58" s="32"/>
      <c r="EG58" s="9"/>
      <c r="EH58" s="32"/>
      <c r="EI58" s="9">
        <v>43</v>
      </c>
      <c r="EJ58" s="7">
        <v>0.64950508848414756</v>
      </c>
      <c r="EK58" s="9">
        <f t="shared" si="16"/>
        <v>6</v>
      </c>
      <c r="EL58" s="38">
        <f>AVERAGE(EK$6:EK58)</f>
        <v>4.6279069767441863</v>
      </c>
      <c r="EM58" s="32"/>
      <c r="EN58" s="9"/>
      <c r="EO58" s="32"/>
      <c r="EP58" s="9">
        <v>43</v>
      </c>
      <c r="EQ58" s="7">
        <v>0.93904669210314751</v>
      </c>
      <c r="ER58" s="9">
        <f t="shared" si="17"/>
        <v>9</v>
      </c>
      <c r="ES58" s="38">
        <f>AVERAGE(ER$6:ER58)</f>
        <v>4.6279069767441863</v>
      </c>
      <c r="ET58" s="32"/>
    </row>
    <row r="59" spans="5:150" x14ac:dyDescent="0.25">
      <c r="E59" s="7"/>
      <c r="L59" s="32"/>
      <c r="M59" s="9">
        <v>44</v>
      </c>
      <c r="N59" s="7">
        <v>0.63510509071056731</v>
      </c>
      <c r="O59" s="9">
        <f t="shared" si="21"/>
        <v>6</v>
      </c>
      <c r="P59" s="38">
        <f>AVERAGE(O$6:O59)</f>
        <v>5.0909090909090908</v>
      </c>
      <c r="Q59" s="32"/>
      <c r="R59" s="9"/>
      <c r="S59" s="32"/>
      <c r="T59" s="9">
        <v>44</v>
      </c>
      <c r="U59" s="7">
        <v>0.33253183899796568</v>
      </c>
      <c r="V59" s="9">
        <f t="shared" si="0"/>
        <v>4</v>
      </c>
      <c r="W59" s="38">
        <f>AVERAGE(V$6:V59)</f>
        <v>4.3409090909090908</v>
      </c>
      <c r="X59" s="32"/>
      <c r="Y59" s="9"/>
      <c r="Z59" s="32"/>
      <c r="AA59" s="9">
        <v>44</v>
      </c>
      <c r="AB59" s="7">
        <v>0.30495177806005813</v>
      </c>
      <c r="AC59" s="9">
        <f t="shared" si="1"/>
        <v>4</v>
      </c>
      <c r="AD59" s="38">
        <f>AVERAGE(AC$6:AC59)</f>
        <v>4.5227272727272725</v>
      </c>
      <c r="AE59" s="32"/>
      <c r="AF59" s="9"/>
      <c r="AG59" s="32"/>
      <c r="AH59" s="9">
        <v>44</v>
      </c>
      <c r="AI59" s="7">
        <v>6.9405275280587375E-4</v>
      </c>
      <c r="AJ59" s="9">
        <f t="shared" si="2"/>
        <v>0</v>
      </c>
      <c r="AK59" s="38">
        <f>AVERAGE(AJ$6:AJ59)</f>
        <v>5.0454545454545459</v>
      </c>
      <c r="AL59" s="32"/>
      <c r="AM59" s="9"/>
      <c r="AN59" s="32"/>
      <c r="AO59" s="9">
        <v>44</v>
      </c>
      <c r="AP59" s="7">
        <v>3.7573536654235795E-2</v>
      </c>
      <c r="AQ59" s="9">
        <f t="shared" si="3"/>
        <v>1</v>
      </c>
      <c r="AR59" s="38">
        <f>AVERAGE(AQ$6:AQ59)</f>
        <v>4.9318181818181817</v>
      </c>
      <c r="AS59" s="32"/>
      <c r="AT59" s="9"/>
      <c r="AU59" s="32"/>
      <c r="AV59" s="9">
        <v>44</v>
      </c>
      <c r="AW59" s="7">
        <v>0.91450735388207249</v>
      </c>
      <c r="AX59" s="9">
        <f t="shared" si="4"/>
        <v>8</v>
      </c>
      <c r="AY59" s="38">
        <f>AVERAGE(AX$6:AX59)</f>
        <v>4.8863636363636367</v>
      </c>
      <c r="AZ59" s="32"/>
      <c r="BA59" s="9"/>
      <c r="BB59" s="32"/>
      <c r="BC59" s="9">
        <v>44</v>
      </c>
      <c r="BD59" s="7">
        <v>0.68240565789164975</v>
      </c>
      <c r="BE59" s="9">
        <f t="shared" si="5"/>
        <v>6</v>
      </c>
      <c r="BF59" s="38">
        <f>AVERAGE(BE$6:BE59)</f>
        <v>5</v>
      </c>
      <c r="BG59" s="32"/>
      <c r="BH59" s="9"/>
      <c r="BI59" s="32"/>
      <c r="BJ59" s="9">
        <v>44</v>
      </c>
      <c r="BK59" s="7">
        <v>0.5780198561551515</v>
      </c>
      <c r="BL59" s="9">
        <f t="shared" si="6"/>
        <v>5</v>
      </c>
      <c r="BM59" s="38">
        <f>AVERAGE(BL$6:BL59)</f>
        <v>5.1590909090909092</v>
      </c>
      <c r="BN59" s="32"/>
      <c r="BO59" s="9"/>
      <c r="BP59" s="32"/>
      <c r="BQ59" s="9">
        <v>44</v>
      </c>
      <c r="BR59" s="7">
        <v>0.48181181706604548</v>
      </c>
      <c r="BS59" s="9">
        <f t="shared" si="7"/>
        <v>5</v>
      </c>
      <c r="BT59" s="38">
        <f>AVERAGE(BS$6:BS59)</f>
        <v>4.7954545454545459</v>
      </c>
      <c r="BU59" s="32"/>
      <c r="BV59" s="9"/>
      <c r="BW59" s="32"/>
      <c r="BX59" s="9">
        <v>44</v>
      </c>
      <c r="BY59" s="7">
        <v>0.84339541601366363</v>
      </c>
      <c r="BZ59" s="9">
        <f t="shared" si="8"/>
        <v>7</v>
      </c>
      <c r="CA59" s="38">
        <f>AVERAGE(BZ$6:BZ59)</f>
        <v>4.1590909090909092</v>
      </c>
      <c r="CB59" s="32"/>
      <c r="CC59" s="9"/>
      <c r="CD59" s="32"/>
      <c r="CE59" s="9">
        <v>44</v>
      </c>
      <c r="CF59" s="7">
        <v>0.67807812060345896</v>
      </c>
      <c r="CG59" s="9">
        <f t="shared" si="22"/>
        <v>6</v>
      </c>
      <c r="CH59" s="38">
        <f>AVERAGE(CG$6:CG59)</f>
        <v>4.6590909090909092</v>
      </c>
      <c r="CI59" s="32"/>
      <c r="CJ59" s="9"/>
      <c r="CK59" s="32"/>
      <c r="CL59" s="9">
        <v>44</v>
      </c>
      <c r="CM59" s="7">
        <v>0.79176334530347958</v>
      </c>
      <c r="CN59" s="9">
        <f t="shared" si="9"/>
        <v>7</v>
      </c>
      <c r="CO59" s="38">
        <f>AVERAGE(CN$6:CN59)</f>
        <v>4.5227272727272725</v>
      </c>
      <c r="CP59" s="32"/>
      <c r="CQ59" s="9"/>
      <c r="CR59" s="32"/>
      <c r="CS59" s="9">
        <v>44</v>
      </c>
      <c r="CT59" s="7">
        <v>3.0598969431594014E-2</v>
      </c>
      <c r="CU59" s="9">
        <f t="shared" si="10"/>
        <v>1</v>
      </c>
      <c r="CV59" s="38">
        <f>AVERAGE(CU$6:CU59)</f>
        <v>4.8181818181818183</v>
      </c>
      <c r="CW59" s="32"/>
      <c r="CX59" s="9"/>
      <c r="CY59" s="32"/>
      <c r="CZ59" s="9">
        <v>44</v>
      </c>
      <c r="DA59" s="7">
        <v>0.51925411424599588</v>
      </c>
      <c r="DB59" s="9">
        <f t="shared" si="11"/>
        <v>5</v>
      </c>
      <c r="DC59" s="38">
        <f>AVERAGE(DB$6:DB59)</f>
        <v>4.8636363636363633</v>
      </c>
      <c r="DD59" s="32"/>
      <c r="DE59" s="9"/>
      <c r="DF59" s="32"/>
      <c r="DG59" s="9">
        <v>44</v>
      </c>
      <c r="DH59" s="7">
        <v>0.30839829411706887</v>
      </c>
      <c r="DI59" s="9">
        <f t="shared" si="12"/>
        <v>4</v>
      </c>
      <c r="DJ59" s="38">
        <f>AVERAGE(DI$6:DI59)</f>
        <v>5.3863636363636367</v>
      </c>
      <c r="DK59" s="32"/>
      <c r="DL59" s="9"/>
      <c r="DM59" s="32"/>
      <c r="DN59" s="9">
        <v>44</v>
      </c>
      <c r="DO59" s="7">
        <v>0.45663814697763883</v>
      </c>
      <c r="DP59" s="9">
        <f t="shared" si="13"/>
        <v>5</v>
      </c>
      <c r="DQ59" s="38">
        <f>AVERAGE(DP$6:DP59)</f>
        <v>5.3181818181818183</v>
      </c>
      <c r="DR59" s="32"/>
      <c r="DS59" s="9"/>
      <c r="DT59" s="32"/>
      <c r="DU59" s="9">
        <v>44</v>
      </c>
      <c r="DV59" s="7">
        <v>0.28338372800499201</v>
      </c>
      <c r="DW59" s="9">
        <f t="shared" si="14"/>
        <v>4</v>
      </c>
      <c r="DX59" s="38">
        <f>AVERAGE(DW$6:DW59)</f>
        <v>4.9545454545454541</v>
      </c>
      <c r="DY59" s="32"/>
      <c r="DZ59" s="9"/>
      <c r="EA59" s="32"/>
      <c r="EB59" s="9">
        <v>44</v>
      </c>
      <c r="EC59" s="7">
        <v>0.66324399868608452</v>
      </c>
      <c r="ED59" s="9">
        <f t="shared" si="15"/>
        <v>6</v>
      </c>
      <c r="EE59" s="38">
        <f>AVERAGE(ED$6:ED59)</f>
        <v>4.9545454545454541</v>
      </c>
      <c r="EF59" s="32"/>
      <c r="EG59" s="9"/>
      <c r="EH59" s="32"/>
      <c r="EI59" s="9">
        <v>44</v>
      </c>
      <c r="EJ59" s="7">
        <v>0.49512056936509907</v>
      </c>
      <c r="EK59" s="9">
        <f t="shared" si="16"/>
        <v>5</v>
      </c>
      <c r="EL59" s="38">
        <f>AVERAGE(EK$6:EK59)</f>
        <v>4.6363636363636367</v>
      </c>
      <c r="EM59" s="32"/>
      <c r="EN59" s="9"/>
      <c r="EO59" s="32"/>
      <c r="EP59" s="9">
        <v>44</v>
      </c>
      <c r="EQ59" s="7">
        <v>0.60904643315006979</v>
      </c>
      <c r="ER59" s="9">
        <f t="shared" si="17"/>
        <v>5</v>
      </c>
      <c r="ES59" s="38">
        <f>AVERAGE(ER$6:ER59)</f>
        <v>4.6363636363636367</v>
      </c>
      <c r="ET59" s="32"/>
    </row>
    <row r="60" spans="5:150" x14ac:dyDescent="0.25">
      <c r="E60" s="7"/>
      <c r="L60" s="32"/>
      <c r="M60" s="9">
        <v>45</v>
      </c>
      <c r="N60" s="7">
        <v>7.9121715971268713E-2</v>
      </c>
      <c r="O60" s="9">
        <f t="shared" si="21"/>
        <v>2</v>
      </c>
      <c r="P60" s="38">
        <f>AVERAGE(O$6:O60)</f>
        <v>5.0222222222222221</v>
      </c>
      <c r="Q60" s="32"/>
      <c r="R60" s="9"/>
      <c r="S60" s="32"/>
      <c r="T60" s="9">
        <v>45</v>
      </c>
      <c r="U60" s="7">
        <v>0.2538970839814283</v>
      </c>
      <c r="V60" s="9">
        <f t="shared" si="0"/>
        <v>3</v>
      </c>
      <c r="W60" s="38">
        <f>AVERAGE(V$6:V60)</f>
        <v>4.3111111111111109</v>
      </c>
      <c r="X60" s="32"/>
      <c r="Y60" s="9"/>
      <c r="Z60" s="32"/>
      <c r="AA60" s="9">
        <v>45</v>
      </c>
      <c r="AB60" s="7">
        <v>5.0165700959041715E-2</v>
      </c>
      <c r="AC60" s="9">
        <f t="shared" si="1"/>
        <v>2</v>
      </c>
      <c r="AD60" s="38">
        <f>AVERAGE(AC$6:AC60)</f>
        <v>4.4666666666666668</v>
      </c>
      <c r="AE60" s="32"/>
      <c r="AF60" s="9"/>
      <c r="AG60" s="32"/>
      <c r="AH60" s="9">
        <v>45</v>
      </c>
      <c r="AI60" s="7">
        <v>0.35743716772412881</v>
      </c>
      <c r="AJ60" s="9">
        <f t="shared" si="2"/>
        <v>4</v>
      </c>
      <c r="AK60" s="38">
        <f>AVERAGE(AJ$6:AJ60)</f>
        <v>5.0222222222222221</v>
      </c>
      <c r="AL60" s="32"/>
      <c r="AM60" s="9"/>
      <c r="AN60" s="32"/>
      <c r="AO60" s="9">
        <v>45</v>
      </c>
      <c r="AP60" s="7">
        <v>0.35037137696053833</v>
      </c>
      <c r="AQ60" s="9">
        <f t="shared" si="3"/>
        <v>4</v>
      </c>
      <c r="AR60" s="38">
        <f>AVERAGE(AQ$6:AQ60)</f>
        <v>4.9111111111111114</v>
      </c>
      <c r="AS60" s="32"/>
      <c r="AT60" s="9"/>
      <c r="AU60" s="32"/>
      <c r="AV60" s="9">
        <v>45</v>
      </c>
      <c r="AW60" s="7">
        <v>0.97128724929643795</v>
      </c>
      <c r="AX60" s="9">
        <f t="shared" si="4"/>
        <v>10</v>
      </c>
      <c r="AY60" s="38">
        <f>AVERAGE(AX$6:AX60)</f>
        <v>5</v>
      </c>
      <c r="AZ60" s="32"/>
      <c r="BA60" s="9"/>
      <c r="BB60" s="32"/>
      <c r="BC60" s="9">
        <v>45</v>
      </c>
      <c r="BD60" s="7">
        <v>0.43891381422872655</v>
      </c>
      <c r="BE60" s="9">
        <f t="shared" si="5"/>
        <v>4</v>
      </c>
      <c r="BF60" s="38">
        <f>AVERAGE(BE$6:BE60)</f>
        <v>4.9777777777777779</v>
      </c>
      <c r="BG60" s="32"/>
      <c r="BH60" s="9"/>
      <c r="BI60" s="32"/>
      <c r="BJ60" s="9">
        <v>45</v>
      </c>
      <c r="BK60" s="7">
        <v>0.680225919932127</v>
      </c>
      <c r="BL60" s="9">
        <f t="shared" si="6"/>
        <v>6</v>
      </c>
      <c r="BM60" s="38">
        <f>AVERAGE(BL$6:BL60)</f>
        <v>5.177777777777778</v>
      </c>
      <c r="BN60" s="32"/>
      <c r="BO60" s="9"/>
      <c r="BP60" s="32"/>
      <c r="BQ60" s="9">
        <v>45</v>
      </c>
      <c r="BR60" s="7">
        <v>0.13308578904252499</v>
      </c>
      <c r="BS60" s="9">
        <f t="shared" si="7"/>
        <v>3</v>
      </c>
      <c r="BT60" s="38">
        <f>AVERAGE(BS$6:BS60)</f>
        <v>4.7555555555555555</v>
      </c>
      <c r="BU60" s="32"/>
      <c r="BV60" s="9"/>
      <c r="BW60" s="32"/>
      <c r="BX60" s="9">
        <v>45</v>
      </c>
      <c r="BY60" s="7">
        <v>0.34863924706587568</v>
      </c>
      <c r="BZ60" s="9">
        <f t="shared" si="8"/>
        <v>4</v>
      </c>
      <c r="CA60" s="38">
        <f>AVERAGE(BZ$6:BZ60)</f>
        <v>4.1555555555555559</v>
      </c>
      <c r="CB60" s="32"/>
      <c r="CC60" s="9"/>
      <c r="CD60" s="32"/>
      <c r="CE60" s="9">
        <v>45</v>
      </c>
      <c r="CF60" s="7">
        <v>0.21023211081046611</v>
      </c>
      <c r="CG60" s="9">
        <f t="shared" si="22"/>
        <v>3</v>
      </c>
      <c r="CH60" s="38">
        <f>AVERAGE(CG$6:CG60)</f>
        <v>4.6222222222222218</v>
      </c>
      <c r="CI60" s="32"/>
      <c r="CJ60" s="9"/>
      <c r="CK60" s="32"/>
      <c r="CL60" s="9">
        <v>45</v>
      </c>
      <c r="CM60" s="7">
        <v>0.7581228313210886</v>
      </c>
      <c r="CN60" s="9">
        <f t="shared" si="9"/>
        <v>6</v>
      </c>
      <c r="CO60" s="38">
        <f>AVERAGE(CN$6:CN60)</f>
        <v>4.5555555555555554</v>
      </c>
      <c r="CP60" s="32"/>
      <c r="CQ60" s="9"/>
      <c r="CR60" s="32"/>
      <c r="CS60" s="9">
        <v>45</v>
      </c>
      <c r="CT60" s="7">
        <v>0.75846925730002113</v>
      </c>
      <c r="CU60" s="9">
        <f t="shared" si="10"/>
        <v>6</v>
      </c>
      <c r="CV60" s="38">
        <f>AVERAGE(CU$6:CU60)</f>
        <v>4.8444444444444441</v>
      </c>
      <c r="CW60" s="32"/>
      <c r="CX60" s="9"/>
      <c r="CY60" s="32"/>
      <c r="CZ60" s="9">
        <v>45</v>
      </c>
      <c r="DA60" s="7">
        <v>0.4158688367169816</v>
      </c>
      <c r="DB60" s="9">
        <f t="shared" si="11"/>
        <v>4</v>
      </c>
      <c r="DC60" s="38">
        <f>AVERAGE(DB$6:DB60)</f>
        <v>4.8444444444444441</v>
      </c>
      <c r="DD60" s="32"/>
      <c r="DE60" s="9"/>
      <c r="DF60" s="32"/>
      <c r="DG60" s="9">
        <v>45</v>
      </c>
      <c r="DH60" s="7">
        <v>0.82512147031957284</v>
      </c>
      <c r="DI60" s="9">
        <f t="shared" si="12"/>
        <v>7</v>
      </c>
      <c r="DJ60" s="38">
        <f>AVERAGE(DI$6:DI60)</f>
        <v>5.4222222222222225</v>
      </c>
      <c r="DK60" s="32"/>
      <c r="DL60" s="9"/>
      <c r="DM60" s="32"/>
      <c r="DN60" s="9">
        <v>45</v>
      </c>
      <c r="DO60" s="7">
        <v>0.1686456935130991</v>
      </c>
      <c r="DP60" s="9">
        <f t="shared" si="13"/>
        <v>3</v>
      </c>
      <c r="DQ60" s="38">
        <f>AVERAGE(DP$6:DP60)</f>
        <v>5.2666666666666666</v>
      </c>
      <c r="DR60" s="32"/>
      <c r="DS60" s="9"/>
      <c r="DT60" s="32"/>
      <c r="DU60" s="9">
        <v>45</v>
      </c>
      <c r="DV60" s="7">
        <v>0.94261992259998806</v>
      </c>
      <c r="DW60" s="9">
        <f t="shared" si="14"/>
        <v>9</v>
      </c>
      <c r="DX60" s="38">
        <f>AVERAGE(DW$6:DW60)</f>
        <v>5.0444444444444443</v>
      </c>
      <c r="DY60" s="32"/>
      <c r="DZ60" s="9"/>
      <c r="EA60" s="32"/>
      <c r="EB60" s="9">
        <v>45</v>
      </c>
      <c r="EC60" s="7">
        <v>0.57065932336263359</v>
      </c>
      <c r="ED60" s="9">
        <f t="shared" si="15"/>
        <v>5</v>
      </c>
      <c r="EE60" s="38">
        <f>AVERAGE(ED$6:ED60)</f>
        <v>4.9555555555555557</v>
      </c>
      <c r="EF60" s="32"/>
      <c r="EG60" s="9"/>
      <c r="EH60" s="32"/>
      <c r="EI60" s="9">
        <v>45</v>
      </c>
      <c r="EJ60" s="7">
        <v>0.98709322305512615</v>
      </c>
      <c r="EK60" s="9">
        <f t="shared" si="16"/>
        <v>11</v>
      </c>
      <c r="EL60" s="38">
        <f>AVERAGE(EK$6:EK60)</f>
        <v>4.7777777777777777</v>
      </c>
      <c r="EM60" s="32"/>
      <c r="EN60" s="9"/>
      <c r="EO60" s="32"/>
      <c r="EP60" s="9">
        <v>45</v>
      </c>
      <c r="EQ60" s="7">
        <v>0.6589130723150447</v>
      </c>
      <c r="ER60" s="9">
        <f t="shared" si="17"/>
        <v>6</v>
      </c>
      <c r="ES60" s="38">
        <f>AVERAGE(ER$6:ER60)</f>
        <v>4.666666666666667</v>
      </c>
      <c r="ET60" s="32"/>
    </row>
    <row r="61" spans="5:150" x14ac:dyDescent="0.25">
      <c r="E61" s="7"/>
      <c r="L61" s="32"/>
      <c r="M61" s="9">
        <v>46</v>
      </c>
      <c r="N61" s="7">
        <v>0.74768372523249127</v>
      </c>
      <c r="O61" s="9">
        <f t="shared" si="21"/>
        <v>6</v>
      </c>
      <c r="P61" s="38">
        <f>AVERAGE(O$6:O61)</f>
        <v>5.0434782608695654</v>
      </c>
      <c r="Q61" s="32"/>
      <c r="R61" s="9"/>
      <c r="S61" s="32"/>
      <c r="T61" s="9">
        <v>46</v>
      </c>
      <c r="U61" s="7">
        <v>0.75699825046467595</v>
      </c>
      <c r="V61" s="9">
        <f t="shared" si="0"/>
        <v>6</v>
      </c>
      <c r="W61" s="38">
        <f>AVERAGE(V$6:V61)</f>
        <v>4.3478260869565215</v>
      </c>
      <c r="X61" s="32"/>
      <c r="Y61" s="9"/>
      <c r="Z61" s="32"/>
      <c r="AA61" s="9">
        <v>46</v>
      </c>
      <c r="AB61" s="7">
        <v>0.83533599393558688</v>
      </c>
      <c r="AC61" s="9">
        <f t="shared" si="1"/>
        <v>7</v>
      </c>
      <c r="AD61" s="38">
        <f>AVERAGE(AC$6:AC61)</f>
        <v>4.5217391304347823</v>
      </c>
      <c r="AE61" s="32"/>
      <c r="AF61" s="9"/>
      <c r="AG61" s="32"/>
      <c r="AH61" s="9">
        <v>46</v>
      </c>
      <c r="AI61" s="7">
        <v>8.0141377955442294E-2</v>
      </c>
      <c r="AJ61" s="9">
        <f t="shared" si="2"/>
        <v>2</v>
      </c>
      <c r="AK61" s="38">
        <f>AVERAGE(AJ$6:AJ61)</f>
        <v>4.9565217391304346</v>
      </c>
      <c r="AL61" s="32"/>
      <c r="AM61" s="9"/>
      <c r="AN61" s="32"/>
      <c r="AO61" s="9">
        <v>46</v>
      </c>
      <c r="AP61" s="7">
        <v>0.44125913470634259</v>
      </c>
      <c r="AQ61" s="9">
        <f t="shared" si="3"/>
        <v>5</v>
      </c>
      <c r="AR61" s="38">
        <f>AVERAGE(AQ$6:AQ61)</f>
        <v>4.9130434782608692</v>
      </c>
      <c r="AS61" s="32"/>
      <c r="AT61" s="9"/>
      <c r="AU61" s="32"/>
      <c r="AV61" s="9">
        <v>46</v>
      </c>
      <c r="AW61" s="7">
        <v>0.21293338769464754</v>
      </c>
      <c r="AX61" s="9">
        <f t="shared" si="4"/>
        <v>3</v>
      </c>
      <c r="AY61" s="38">
        <f>AVERAGE(AX$6:AX61)</f>
        <v>4.9565217391304346</v>
      </c>
      <c r="AZ61" s="32"/>
      <c r="BA61" s="9"/>
      <c r="BB61" s="32"/>
      <c r="BC61" s="9">
        <v>46</v>
      </c>
      <c r="BD61" s="7">
        <v>4.0614327823277563E-2</v>
      </c>
      <c r="BE61" s="9">
        <f t="shared" si="5"/>
        <v>2</v>
      </c>
      <c r="BF61" s="38">
        <f>AVERAGE(BE$6:BE61)</f>
        <v>4.9130434782608692</v>
      </c>
      <c r="BG61" s="32"/>
      <c r="BH61" s="9"/>
      <c r="BI61" s="32"/>
      <c r="BJ61" s="9">
        <v>46</v>
      </c>
      <c r="BK61" s="7">
        <v>0.31634876507450826</v>
      </c>
      <c r="BL61" s="9">
        <f t="shared" si="6"/>
        <v>4</v>
      </c>
      <c r="BM61" s="38">
        <f>AVERAGE(BL$6:BL61)</f>
        <v>5.1521739130434785</v>
      </c>
      <c r="BN61" s="32"/>
      <c r="BO61" s="9"/>
      <c r="BP61" s="32"/>
      <c r="BQ61" s="9">
        <v>46</v>
      </c>
      <c r="BR61" s="7">
        <v>0.53918135692947544</v>
      </c>
      <c r="BS61" s="9">
        <f t="shared" si="7"/>
        <v>5</v>
      </c>
      <c r="BT61" s="38">
        <f>AVERAGE(BS$6:BS61)</f>
        <v>4.7608695652173916</v>
      </c>
      <c r="BU61" s="32"/>
      <c r="BV61" s="9"/>
      <c r="BW61" s="32"/>
      <c r="BX61" s="9">
        <v>46</v>
      </c>
      <c r="BY61" s="7">
        <v>0.54921223895507865</v>
      </c>
      <c r="BZ61" s="9">
        <f t="shared" si="8"/>
        <v>5</v>
      </c>
      <c r="CA61" s="38">
        <f>AVERAGE(BZ$6:BZ61)</f>
        <v>4.1739130434782608</v>
      </c>
      <c r="CB61" s="32"/>
      <c r="CC61" s="9"/>
      <c r="CD61" s="32"/>
      <c r="CE61" s="9">
        <v>46</v>
      </c>
      <c r="CF61" s="7">
        <v>0.26953706741915084</v>
      </c>
      <c r="CG61" s="9">
        <f t="shared" si="22"/>
        <v>4</v>
      </c>
      <c r="CH61" s="38">
        <f>AVERAGE(CG$6:CG61)</f>
        <v>4.6086956521739131</v>
      </c>
      <c r="CI61" s="32"/>
      <c r="CJ61" s="9"/>
      <c r="CK61" s="32"/>
      <c r="CL61" s="9">
        <v>46</v>
      </c>
      <c r="CM61" s="7">
        <v>0.43325813038973138</v>
      </c>
      <c r="CN61" s="9">
        <f t="shared" si="9"/>
        <v>4</v>
      </c>
      <c r="CO61" s="38">
        <f>AVERAGE(CN$6:CN61)</f>
        <v>4.5434782608695654</v>
      </c>
      <c r="CP61" s="32"/>
      <c r="CQ61" s="9"/>
      <c r="CR61" s="32"/>
      <c r="CS61" s="9">
        <v>46</v>
      </c>
      <c r="CT61" s="7">
        <v>0.61166750953998417</v>
      </c>
      <c r="CU61" s="9">
        <f t="shared" si="10"/>
        <v>5</v>
      </c>
      <c r="CV61" s="38">
        <f>AVERAGE(CU$6:CU61)</f>
        <v>4.8478260869565215</v>
      </c>
      <c r="CW61" s="32"/>
      <c r="CX61" s="9"/>
      <c r="CY61" s="32"/>
      <c r="CZ61" s="9">
        <v>46</v>
      </c>
      <c r="DA61" s="7">
        <v>0.17245090927463025</v>
      </c>
      <c r="DB61" s="9">
        <f t="shared" si="11"/>
        <v>3</v>
      </c>
      <c r="DC61" s="38">
        <f>AVERAGE(DB$6:DB61)</f>
        <v>4.8043478260869561</v>
      </c>
      <c r="DD61" s="32"/>
      <c r="DE61" s="9"/>
      <c r="DF61" s="32"/>
      <c r="DG61" s="9">
        <v>46</v>
      </c>
      <c r="DH61" s="7">
        <v>0.93755721460911445</v>
      </c>
      <c r="DI61" s="9">
        <f t="shared" si="12"/>
        <v>9</v>
      </c>
      <c r="DJ61" s="38">
        <f>AVERAGE(DI$6:DI61)</f>
        <v>5.5</v>
      </c>
      <c r="DK61" s="32"/>
      <c r="DL61" s="9"/>
      <c r="DM61" s="32"/>
      <c r="DN61" s="9">
        <v>46</v>
      </c>
      <c r="DO61" s="7">
        <v>0.85253215927514248</v>
      </c>
      <c r="DP61" s="9">
        <f t="shared" si="13"/>
        <v>7</v>
      </c>
      <c r="DQ61" s="38">
        <f>AVERAGE(DP$6:DP61)</f>
        <v>5.3043478260869561</v>
      </c>
      <c r="DR61" s="32"/>
      <c r="DS61" s="9"/>
      <c r="DT61" s="32"/>
      <c r="DU61" s="9">
        <v>46</v>
      </c>
      <c r="DV61" s="7">
        <v>0.44926013902295381</v>
      </c>
      <c r="DW61" s="9">
        <f t="shared" si="14"/>
        <v>5</v>
      </c>
      <c r="DX61" s="38">
        <f>AVERAGE(DW$6:DW61)</f>
        <v>5.0434782608695654</v>
      </c>
      <c r="DY61" s="32"/>
      <c r="DZ61" s="9"/>
      <c r="EA61" s="32"/>
      <c r="EB61" s="9">
        <v>46</v>
      </c>
      <c r="EC61" s="7">
        <v>0.88955153178540058</v>
      </c>
      <c r="ED61" s="9">
        <f t="shared" si="15"/>
        <v>8</v>
      </c>
      <c r="EE61" s="38">
        <f>AVERAGE(ED$6:ED61)</f>
        <v>5.0217391304347823</v>
      </c>
      <c r="EF61" s="32"/>
      <c r="EG61" s="9"/>
      <c r="EH61" s="32"/>
      <c r="EI61" s="9">
        <v>46</v>
      </c>
      <c r="EJ61" s="7">
        <v>0.35300987341906875</v>
      </c>
      <c r="EK61" s="9">
        <f t="shared" si="16"/>
        <v>4</v>
      </c>
      <c r="EL61" s="38">
        <f>AVERAGE(EK$6:EK61)</f>
        <v>4.7608695652173916</v>
      </c>
      <c r="EM61" s="32"/>
      <c r="EN61" s="9"/>
      <c r="EO61" s="32"/>
      <c r="EP61" s="9">
        <v>46</v>
      </c>
      <c r="EQ61" s="7">
        <v>0.3402322422771249</v>
      </c>
      <c r="ER61" s="9">
        <f t="shared" si="17"/>
        <v>4</v>
      </c>
      <c r="ES61" s="38">
        <f>AVERAGE(ER$6:ER61)</f>
        <v>4.6521739130434785</v>
      </c>
      <c r="ET61" s="32"/>
    </row>
    <row r="62" spans="5:150" x14ac:dyDescent="0.25">
      <c r="E62" s="7"/>
      <c r="L62" s="32"/>
      <c r="M62" s="9">
        <v>47</v>
      </c>
      <c r="N62" s="7">
        <v>5.711849476210773E-2</v>
      </c>
      <c r="O62" s="9">
        <f t="shared" si="21"/>
        <v>2</v>
      </c>
      <c r="P62" s="38">
        <f>AVERAGE(O$6:O62)</f>
        <v>4.9787234042553195</v>
      </c>
      <c r="Q62" s="32"/>
      <c r="R62" s="9"/>
      <c r="S62" s="32"/>
      <c r="T62" s="9">
        <v>47</v>
      </c>
      <c r="U62" s="7">
        <v>0.85409898933721706</v>
      </c>
      <c r="V62" s="9">
        <f t="shared" si="0"/>
        <v>7</v>
      </c>
      <c r="W62" s="38">
        <f>AVERAGE(V$6:V62)</f>
        <v>4.4042553191489358</v>
      </c>
      <c r="X62" s="32"/>
      <c r="Y62" s="9"/>
      <c r="Z62" s="32"/>
      <c r="AA62" s="9">
        <v>47</v>
      </c>
      <c r="AB62" s="7">
        <v>0.19803687685634941</v>
      </c>
      <c r="AC62" s="9">
        <f t="shared" si="1"/>
        <v>3</v>
      </c>
      <c r="AD62" s="38">
        <f>AVERAGE(AC$6:AC62)</f>
        <v>4.4893617021276597</v>
      </c>
      <c r="AE62" s="32"/>
      <c r="AF62" s="9"/>
      <c r="AG62" s="32"/>
      <c r="AH62" s="9">
        <v>47</v>
      </c>
      <c r="AI62" s="7">
        <v>0.27280964708188549</v>
      </c>
      <c r="AJ62" s="9">
        <f t="shared" si="2"/>
        <v>4</v>
      </c>
      <c r="AK62" s="38">
        <f>AVERAGE(AJ$6:AJ62)</f>
        <v>4.9361702127659575</v>
      </c>
      <c r="AL62" s="32"/>
      <c r="AM62" s="9"/>
      <c r="AN62" s="32"/>
      <c r="AO62" s="9">
        <v>47</v>
      </c>
      <c r="AP62" s="7">
        <v>0.24845437379553914</v>
      </c>
      <c r="AQ62" s="9">
        <f t="shared" si="3"/>
        <v>3</v>
      </c>
      <c r="AR62" s="38">
        <f>AVERAGE(AQ$6:AQ62)</f>
        <v>4.8723404255319149</v>
      </c>
      <c r="AS62" s="32"/>
      <c r="AT62" s="9"/>
      <c r="AU62" s="32"/>
      <c r="AV62" s="9">
        <v>47</v>
      </c>
      <c r="AW62" s="7">
        <v>0.66069466277258471</v>
      </c>
      <c r="AX62" s="9">
        <f t="shared" si="4"/>
        <v>6</v>
      </c>
      <c r="AY62" s="38">
        <f>AVERAGE(AX$6:AX62)</f>
        <v>4.9787234042553195</v>
      </c>
      <c r="AZ62" s="32"/>
      <c r="BA62" s="9"/>
      <c r="BB62" s="32"/>
      <c r="BC62" s="9">
        <v>47</v>
      </c>
      <c r="BD62" s="7">
        <v>0.9163788290170487</v>
      </c>
      <c r="BE62" s="9">
        <f t="shared" si="5"/>
        <v>8</v>
      </c>
      <c r="BF62" s="38">
        <f>AVERAGE(BE$6:BE62)</f>
        <v>4.9787234042553195</v>
      </c>
      <c r="BG62" s="32"/>
      <c r="BH62" s="9"/>
      <c r="BI62" s="32"/>
      <c r="BJ62" s="9">
        <v>47</v>
      </c>
      <c r="BK62" s="7">
        <v>0.91961401340086013</v>
      </c>
      <c r="BL62" s="9">
        <f t="shared" si="6"/>
        <v>8</v>
      </c>
      <c r="BM62" s="38">
        <f>AVERAGE(BL$6:BL62)</f>
        <v>5.2127659574468082</v>
      </c>
      <c r="BN62" s="32"/>
      <c r="BO62" s="9"/>
      <c r="BP62" s="32"/>
      <c r="BQ62" s="9">
        <v>47</v>
      </c>
      <c r="BR62" s="7">
        <v>0.67839881870895624</v>
      </c>
      <c r="BS62" s="9">
        <f t="shared" si="7"/>
        <v>6</v>
      </c>
      <c r="BT62" s="38">
        <f>AVERAGE(BS$6:BS62)</f>
        <v>4.7872340425531918</v>
      </c>
      <c r="BU62" s="32"/>
      <c r="BV62" s="9"/>
      <c r="BW62" s="32"/>
      <c r="BX62" s="9">
        <v>47</v>
      </c>
      <c r="BY62" s="7">
        <v>0.8443030618946068</v>
      </c>
      <c r="BZ62" s="9">
        <f t="shared" si="8"/>
        <v>7</v>
      </c>
      <c r="CA62" s="38">
        <f>AVERAGE(BZ$6:BZ62)</f>
        <v>4.2340425531914896</v>
      </c>
      <c r="CB62" s="32"/>
      <c r="CC62" s="9"/>
      <c r="CD62" s="32"/>
      <c r="CE62" s="9">
        <v>47</v>
      </c>
      <c r="CF62" s="7">
        <v>0.8115897208917886</v>
      </c>
      <c r="CG62" s="9">
        <f t="shared" si="22"/>
        <v>7</v>
      </c>
      <c r="CH62" s="38">
        <f>AVERAGE(CG$6:CG62)</f>
        <v>4.6595744680851068</v>
      </c>
      <c r="CI62" s="32"/>
      <c r="CJ62" s="9"/>
      <c r="CK62" s="32"/>
      <c r="CL62" s="9">
        <v>47</v>
      </c>
      <c r="CM62" s="7">
        <v>0.12793715074076317</v>
      </c>
      <c r="CN62" s="9">
        <f t="shared" si="9"/>
        <v>3</v>
      </c>
      <c r="CO62" s="38">
        <f>AVERAGE(CN$6:CN62)</f>
        <v>4.5106382978723403</v>
      </c>
      <c r="CP62" s="32"/>
      <c r="CQ62" s="9"/>
      <c r="CR62" s="32"/>
      <c r="CS62" s="9">
        <v>47</v>
      </c>
      <c r="CT62" s="7">
        <v>8.7674131209496409E-3</v>
      </c>
      <c r="CU62" s="9">
        <f t="shared" si="10"/>
        <v>1</v>
      </c>
      <c r="CV62" s="38">
        <f>AVERAGE(CU$6:CU62)</f>
        <v>4.7659574468085104</v>
      </c>
      <c r="CW62" s="32"/>
      <c r="CX62" s="9"/>
      <c r="CY62" s="32"/>
      <c r="CZ62" s="9">
        <v>47</v>
      </c>
      <c r="DA62" s="7">
        <v>0.81221827646368183</v>
      </c>
      <c r="DB62" s="9">
        <f t="shared" si="11"/>
        <v>7</v>
      </c>
      <c r="DC62" s="38">
        <f>AVERAGE(DB$6:DB62)</f>
        <v>4.8510638297872344</v>
      </c>
      <c r="DD62" s="32"/>
      <c r="DE62" s="9"/>
      <c r="DF62" s="32"/>
      <c r="DG62" s="9">
        <v>47</v>
      </c>
      <c r="DH62" s="7">
        <v>0.84196552372304723</v>
      </c>
      <c r="DI62" s="9">
        <f t="shared" si="12"/>
        <v>7</v>
      </c>
      <c r="DJ62" s="38">
        <f>AVERAGE(DI$6:DI62)</f>
        <v>5.5319148936170217</v>
      </c>
      <c r="DK62" s="32"/>
      <c r="DL62" s="9"/>
      <c r="DM62" s="32"/>
      <c r="DN62" s="9">
        <v>47</v>
      </c>
      <c r="DO62" s="7">
        <v>5.4062026727478951E-2</v>
      </c>
      <c r="DP62" s="9">
        <f t="shared" si="13"/>
        <v>2</v>
      </c>
      <c r="DQ62" s="38">
        <f>AVERAGE(DP$6:DP62)</f>
        <v>5.2340425531914896</v>
      </c>
      <c r="DR62" s="32"/>
      <c r="DS62" s="9"/>
      <c r="DT62" s="32"/>
      <c r="DU62" s="9">
        <v>47</v>
      </c>
      <c r="DV62" s="7">
        <v>0.36897159685031511</v>
      </c>
      <c r="DW62" s="9">
        <f t="shared" si="14"/>
        <v>4</v>
      </c>
      <c r="DX62" s="38">
        <f>AVERAGE(DW$6:DW62)</f>
        <v>5.0212765957446805</v>
      </c>
      <c r="DY62" s="32"/>
      <c r="DZ62" s="9"/>
      <c r="EA62" s="32"/>
      <c r="EB62" s="9">
        <v>47</v>
      </c>
      <c r="EC62" s="7">
        <v>0.11903886951040477</v>
      </c>
      <c r="ED62" s="9">
        <f t="shared" si="15"/>
        <v>2</v>
      </c>
      <c r="EE62" s="38">
        <f>AVERAGE(ED$6:ED62)</f>
        <v>4.957446808510638</v>
      </c>
      <c r="EF62" s="32"/>
      <c r="EG62" s="9"/>
      <c r="EH62" s="32"/>
      <c r="EI62" s="9">
        <v>47</v>
      </c>
      <c r="EJ62" s="7">
        <v>0.800084810849512</v>
      </c>
      <c r="EK62" s="9">
        <f t="shared" si="16"/>
        <v>7</v>
      </c>
      <c r="EL62" s="38">
        <f>AVERAGE(EK$6:EK62)</f>
        <v>4.8085106382978724</v>
      </c>
      <c r="EM62" s="32"/>
      <c r="EN62" s="9"/>
      <c r="EO62" s="32"/>
      <c r="EP62" s="9">
        <v>47</v>
      </c>
      <c r="EQ62" s="7">
        <v>0.2196047727484256</v>
      </c>
      <c r="ER62" s="9">
        <f t="shared" si="17"/>
        <v>3</v>
      </c>
      <c r="ES62" s="38">
        <f>AVERAGE(ER$6:ER62)</f>
        <v>4.6170212765957448</v>
      </c>
      <c r="ET62" s="32"/>
    </row>
    <row r="63" spans="5:150" x14ac:dyDescent="0.25">
      <c r="E63" s="7"/>
      <c r="L63" s="32"/>
      <c r="M63" s="9">
        <v>48</v>
      </c>
      <c r="N63" s="7">
        <v>0.41602480251458474</v>
      </c>
      <c r="O63" s="9">
        <f t="shared" si="21"/>
        <v>4</v>
      </c>
      <c r="P63" s="38">
        <f>AVERAGE(O$6:O63)</f>
        <v>4.958333333333333</v>
      </c>
      <c r="Q63" s="32"/>
      <c r="R63" s="9"/>
      <c r="S63" s="32"/>
      <c r="T63" s="9">
        <v>48</v>
      </c>
      <c r="U63" s="7">
        <v>0.86097950869589113</v>
      </c>
      <c r="V63" s="9">
        <f t="shared" si="0"/>
        <v>7</v>
      </c>
      <c r="W63" s="38">
        <f>AVERAGE(V$6:V63)</f>
        <v>4.458333333333333</v>
      </c>
      <c r="X63" s="32"/>
      <c r="Y63" s="9"/>
      <c r="Z63" s="32"/>
      <c r="AA63" s="9">
        <v>48</v>
      </c>
      <c r="AB63" s="7">
        <v>0.98899158104904927</v>
      </c>
      <c r="AC63" s="9">
        <f t="shared" si="1"/>
        <v>11</v>
      </c>
      <c r="AD63" s="38">
        <f>AVERAGE(AC$6:AC63)</f>
        <v>4.625</v>
      </c>
      <c r="AE63" s="32"/>
      <c r="AF63" s="9"/>
      <c r="AG63" s="32"/>
      <c r="AH63" s="9">
        <v>48</v>
      </c>
      <c r="AI63" s="7">
        <v>0.49696824720012955</v>
      </c>
      <c r="AJ63" s="9">
        <f t="shared" si="2"/>
        <v>5</v>
      </c>
      <c r="AK63" s="38">
        <f>AVERAGE(AJ$6:AJ63)</f>
        <v>4.9375</v>
      </c>
      <c r="AL63" s="32"/>
      <c r="AM63" s="9"/>
      <c r="AN63" s="32"/>
      <c r="AO63" s="9">
        <v>48</v>
      </c>
      <c r="AP63" s="7">
        <v>0.95400250473176129</v>
      </c>
      <c r="AQ63" s="9">
        <f t="shared" si="3"/>
        <v>9</v>
      </c>
      <c r="AR63" s="38">
        <f>AVERAGE(AQ$6:AQ63)</f>
        <v>4.958333333333333</v>
      </c>
      <c r="AS63" s="32"/>
      <c r="AT63" s="9"/>
      <c r="AU63" s="32"/>
      <c r="AV63" s="9">
        <v>48</v>
      </c>
      <c r="AW63" s="7">
        <v>0.2577513279102277</v>
      </c>
      <c r="AX63" s="9">
        <f t="shared" si="4"/>
        <v>3</v>
      </c>
      <c r="AY63" s="38">
        <f>AVERAGE(AX$6:AX63)</f>
        <v>4.9375</v>
      </c>
      <c r="AZ63" s="32"/>
      <c r="BA63" s="9"/>
      <c r="BB63" s="32"/>
      <c r="BC63" s="9">
        <v>48</v>
      </c>
      <c r="BD63" s="7">
        <v>0.93509694380918518</v>
      </c>
      <c r="BE63" s="9">
        <f t="shared" si="5"/>
        <v>9</v>
      </c>
      <c r="BF63" s="38">
        <f>AVERAGE(BE$6:BE63)</f>
        <v>5.0625</v>
      </c>
      <c r="BG63" s="32"/>
      <c r="BH63" s="9"/>
      <c r="BI63" s="32"/>
      <c r="BJ63" s="9">
        <v>48</v>
      </c>
      <c r="BK63" s="7">
        <v>0.60121690147207119</v>
      </c>
      <c r="BL63" s="9">
        <f t="shared" si="6"/>
        <v>5</v>
      </c>
      <c r="BM63" s="38">
        <f>AVERAGE(BL$6:BL63)</f>
        <v>5.208333333333333</v>
      </c>
      <c r="BN63" s="32"/>
      <c r="BO63" s="9"/>
      <c r="BP63" s="32"/>
      <c r="BQ63" s="9">
        <v>48</v>
      </c>
      <c r="BR63" s="7">
        <v>0.37539163514156826</v>
      </c>
      <c r="BS63" s="9">
        <f t="shared" si="7"/>
        <v>4</v>
      </c>
      <c r="BT63" s="38">
        <f>AVERAGE(BS$6:BS63)</f>
        <v>4.770833333333333</v>
      </c>
      <c r="BU63" s="32"/>
      <c r="BV63" s="9"/>
      <c r="BW63" s="32"/>
      <c r="BX63" s="9">
        <v>48</v>
      </c>
      <c r="BY63" s="7">
        <v>0.81607687575160526</v>
      </c>
      <c r="BZ63" s="9">
        <f t="shared" si="8"/>
        <v>7</v>
      </c>
      <c r="CA63" s="38">
        <f>AVERAGE(BZ$6:BZ63)</f>
        <v>4.291666666666667</v>
      </c>
      <c r="CB63" s="32"/>
      <c r="CC63" s="9"/>
      <c r="CD63" s="32"/>
      <c r="CE63" s="9">
        <v>48</v>
      </c>
      <c r="CF63" s="7">
        <v>0.9687062593002338</v>
      </c>
      <c r="CG63" s="9">
        <f t="shared" si="22"/>
        <v>10</v>
      </c>
      <c r="CH63" s="38">
        <f>AVERAGE(CG$6:CG63)</f>
        <v>4.770833333333333</v>
      </c>
      <c r="CI63" s="32"/>
      <c r="CJ63" s="9"/>
      <c r="CK63" s="32"/>
      <c r="CL63" s="9">
        <v>48</v>
      </c>
      <c r="CM63" s="7">
        <v>0.88763263152213767</v>
      </c>
      <c r="CN63" s="9">
        <f t="shared" si="9"/>
        <v>8</v>
      </c>
      <c r="CO63" s="38">
        <f>AVERAGE(CN$6:CN63)</f>
        <v>4.583333333333333</v>
      </c>
      <c r="CP63" s="32"/>
      <c r="CQ63" s="9"/>
      <c r="CR63" s="32"/>
      <c r="CS63" s="9">
        <v>48</v>
      </c>
      <c r="CT63" s="7">
        <v>0.51521775731816888</v>
      </c>
      <c r="CU63" s="9">
        <f t="shared" si="10"/>
        <v>5</v>
      </c>
      <c r="CV63" s="38">
        <f>AVERAGE(CU$6:CU63)</f>
        <v>4.770833333333333</v>
      </c>
      <c r="CW63" s="32"/>
      <c r="CX63" s="9"/>
      <c r="CY63" s="32"/>
      <c r="CZ63" s="9">
        <v>48</v>
      </c>
      <c r="DA63" s="7">
        <v>0.29241237882524729</v>
      </c>
      <c r="DB63" s="9">
        <f t="shared" si="11"/>
        <v>4</v>
      </c>
      <c r="DC63" s="38">
        <f>AVERAGE(DB$6:DB63)</f>
        <v>4.833333333333333</v>
      </c>
      <c r="DD63" s="32"/>
      <c r="DE63" s="9"/>
      <c r="DF63" s="32"/>
      <c r="DG63" s="9">
        <v>48</v>
      </c>
      <c r="DH63" s="7">
        <v>0.61224471739842556</v>
      </c>
      <c r="DI63" s="9">
        <f t="shared" si="12"/>
        <v>5</v>
      </c>
      <c r="DJ63" s="38">
        <f>AVERAGE(DI$6:DI63)</f>
        <v>5.520833333333333</v>
      </c>
      <c r="DK63" s="32"/>
      <c r="DL63" s="9"/>
      <c r="DM63" s="32"/>
      <c r="DN63" s="9">
        <v>48</v>
      </c>
      <c r="DO63" s="7">
        <v>0.84194376468076371</v>
      </c>
      <c r="DP63" s="9">
        <f t="shared" si="13"/>
        <v>7</v>
      </c>
      <c r="DQ63" s="38">
        <f>AVERAGE(DP$6:DP63)</f>
        <v>5.270833333333333</v>
      </c>
      <c r="DR63" s="32"/>
      <c r="DS63" s="9"/>
      <c r="DT63" s="32"/>
      <c r="DU63" s="9">
        <v>48</v>
      </c>
      <c r="DV63" s="7">
        <v>2.0372377941384912E-2</v>
      </c>
      <c r="DW63" s="9">
        <f t="shared" si="14"/>
        <v>1</v>
      </c>
      <c r="DX63" s="38">
        <f>AVERAGE(DW$6:DW63)</f>
        <v>4.9375</v>
      </c>
      <c r="DY63" s="32"/>
      <c r="DZ63" s="9"/>
      <c r="EA63" s="32"/>
      <c r="EB63" s="9">
        <v>48</v>
      </c>
      <c r="EC63" s="7">
        <v>0.30501779788755812</v>
      </c>
      <c r="ED63" s="9">
        <f t="shared" si="15"/>
        <v>4</v>
      </c>
      <c r="EE63" s="38">
        <f>AVERAGE(ED$6:ED63)</f>
        <v>4.9375</v>
      </c>
      <c r="EF63" s="32"/>
      <c r="EG63" s="9"/>
      <c r="EH63" s="32"/>
      <c r="EI63" s="9">
        <v>48</v>
      </c>
      <c r="EJ63" s="7">
        <v>4.3677587527781725E-2</v>
      </c>
      <c r="EK63" s="9">
        <f t="shared" si="16"/>
        <v>2</v>
      </c>
      <c r="EL63" s="38">
        <f>AVERAGE(EK$6:EK63)</f>
        <v>4.75</v>
      </c>
      <c r="EM63" s="32"/>
      <c r="EN63" s="9"/>
      <c r="EO63" s="32"/>
      <c r="EP63" s="9">
        <v>48</v>
      </c>
      <c r="EQ63" s="7">
        <v>9.6457965468289331E-2</v>
      </c>
      <c r="ER63" s="9">
        <f t="shared" si="17"/>
        <v>2</v>
      </c>
      <c r="ES63" s="38">
        <f>AVERAGE(ER$6:ER63)</f>
        <v>4.5625</v>
      </c>
      <c r="ET63" s="32"/>
    </row>
    <row r="64" spans="5:150" x14ac:dyDescent="0.25">
      <c r="E64" s="7"/>
      <c r="L64" s="32">
        <v>7</v>
      </c>
      <c r="M64" s="9">
        <v>49</v>
      </c>
      <c r="N64" s="7">
        <v>0.25277329504024237</v>
      </c>
      <c r="O64" s="9">
        <f t="shared" si="21"/>
        <v>3</v>
      </c>
      <c r="P64" s="38">
        <f>AVERAGE(O$6:O64)</f>
        <v>4.9183673469387754</v>
      </c>
      <c r="Q64" s="32">
        <f t="shared" ref="Q64" si="124">SUM(O64:O71)</f>
        <v>35</v>
      </c>
      <c r="R64" s="9"/>
      <c r="S64" s="32">
        <v>7</v>
      </c>
      <c r="T64" s="9">
        <v>49</v>
      </c>
      <c r="U64" s="7">
        <v>0.40444697841303423</v>
      </c>
      <c r="V64" s="9">
        <f t="shared" si="0"/>
        <v>4</v>
      </c>
      <c r="W64" s="38">
        <f>AVERAGE(V$6:V64)</f>
        <v>4.4489795918367347</v>
      </c>
      <c r="X64" s="32">
        <f t="shared" ref="X64" si="125">SUM(V64:V71)</f>
        <v>36</v>
      </c>
      <c r="Y64" s="9"/>
      <c r="Z64" s="32">
        <v>7</v>
      </c>
      <c r="AA64" s="9">
        <v>49</v>
      </c>
      <c r="AB64" s="7">
        <v>0.33066424028947949</v>
      </c>
      <c r="AC64" s="9">
        <f t="shared" si="1"/>
        <v>4</v>
      </c>
      <c r="AD64" s="38">
        <f>AVERAGE(AC$6:AC64)</f>
        <v>4.6122448979591839</v>
      </c>
      <c r="AE64" s="32">
        <f t="shared" ref="AE64" si="126">SUM(AC64:AC71)</f>
        <v>42</v>
      </c>
      <c r="AF64" s="9"/>
      <c r="AG64" s="32">
        <v>7</v>
      </c>
      <c r="AH64" s="9">
        <v>49</v>
      </c>
      <c r="AI64" s="7">
        <v>0.93864730809582397</v>
      </c>
      <c r="AJ64" s="9">
        <f t="shared" si="2"/>
        <v>9</v>
      </c>
      <c r="AK64" s="38">
        <f>AVERAGE(AJ$6:AJ64)</f>
        <v>5.0204081632653059</v>
      </c>
      <c r="AL64" s="32">
        <f t="shared" ref="AL64" si="127">SUM(AJ64:AJ71)</f>
        <v>48</v>
      </c>
      <c r="AM64" s="9"/>
      <c r="AN64" s="32">
        <v>7</v>
      </c>
      <c r="AO64" s="9">
        <v>49</v>
      </c>
      <c r="AP64" s="7">
        <v>0.31128993688616902</v>
      </c>
      <c r="AQ64" s="9">
        <f t="shared" si="3"/>
        <v>4</v>
      </c>
      <c r="AR64" s="38">
        <f>AVERAGE(AQ$6:AQ64)</f>
        <v>4.9387755102040813</v>
      </c>
      <c r="AS64" s="32">
        <f t="shared" ref="AS64" si="128">SUM(AQ64:AQ71)</f>
        <v>45</v>
      </c>
      <c r="AT64" s="9"/>
      <c r="AU64" s="32">
        <v>7</v>
      </c>
      <c r="AV64" s="9">
        <v>49</v>
      </c>
      <c r="AW64" s="7">
        <v>0.74193387379636988</v>
      </c>
      <c r="AX64" s="9">
        <f t="shared" si="4"/>
        <v>6</v>
      </c>
      <c r="AY64" s="38">
        <f>AVERAGE(AX$6:AX64)</f>
        <v>4.9591836734693882</v>
      </c>
      <c r="AZ64" s="32">
        <f t="shared" ref="AZ64" si="129">SUM(AX64:AX71)</f>
        <v>29</v>
      </c>
      <c r="BA64" s="9"/>
      <c r="BB64" s="32">
        <v>7</v>
      </c>
      <c r="BC64" s="9">
        <v>49</v>
      </c>
      <c r="BD64" s="7">
        <v>0.57492606175947003</v>
      </c>
      <c r="BE64" s="9">
        <f t="shared" si="5"/>
        <v>5</v>
      </c>
      <c r="BF64" s="38">
        <f>AVERAGE(BE$6:BE64)</f>
        <v>5.0612244897959187</v>
      </c>
      <c r="BG64" s="32">
        <f t="shared" ref="BG64" si="130">SUM(BE64:BE71)</f>
        <v>37</v>
      </c>
      <c r="BH64" s="9"/>
      <c r="BI64" s="32">
        <v>7</v>
      </c>
      <c r="BJ64" s="9">
        <v>49</v>
      </c>
      <c r="BK64" s="7">
        <v>0.62670425814576447</v>
      </c>
      <c r="BL64" s="9">
        <f t="shared" si="6"/>
        <v>6</v>
      </c>
      <c r="BM64" s="38">
        <f>AVERAGE(BL$6:BL64)</f>
        <v>5.2244897959183669</v>
      </c>
      <c r="BN64" s="32">
        <f t="shared" ref="BN64" si="131">SUM(BL64:BL71)</f>
        <v>60</v>
      </c>
      <c r="BO64" s="9"/>
      <c r="BP64" s="32">
        <v>7</v>
      </c>
      <c r="BQ64" s="9">
        <v>49</v>
      </c>
      <c r="BR64" s="7">
        <v>0.32669209793675691</v>
      </c>
      <c r="BS64" s="9">
        <f t="shared" si="7"/>
        <v>4</v>
      </c>
      <c r="BT64" s="38">
        <f>AVERAGE(BS$6:BS64)</f>
        <v>4.7551020408163263</v>
      </c>
      <c r="BU64" s="32">
        <f t="shared" ref="BU64" si="132">SUM(BS64:BS71)</f>
        <v>42</v>
      </c>
      <c r="BV64" s="9"/>
      <c r="BW64" s="32">
        <v>7</v>
      </c>
      <c r="BX64" s="9">
        <v>49</v>
      </c>
      <c r="BY64" s="7">
        <v>0.27959101210581139</v>
      </c>
      <c r="BZ64" s="9">
        <f t="shared" si="8"/>
        <v>4</v>
      </c>
      <c r="CA64" s="38">
        <f>AVERAGE(BZ$6:BZ64)</f>
        <v>4.2857142857142856</v>
      </c>
      <c r="CB64" s="32">
        <f t="shared" ref="CB64" si="133">SUM(BZ64:BZ71)</f>
        <v>56</v>
      </c>
      <c r="CC64" s="9"/>
      <c r="CD64" s="32">
        <v>7</v>
      </c>
      <c r="CE64" s="9">
        <v>49</v>
      </c>
      <c r="CF64" s="7">
        <v>0.88372353964950889</v>
      </c>
      <c r="CG64" s="9">
        <f t="shared" si="22"/>
        <v>8</v>
      </c>
      <c r="CH64" s="38">
        <f>AVERAGE(CG$6:CG64)</f>
        <v>4.8367346938775508</v>
      </c>
      <c r="CI64" s="32">
        <f t="shared" ref="CI64" si="134">SUM(CG64:CG71)</f>
        <v>34</v>
      </c>
      <c r="CJ64" s="9"/>
      <c r="CK64" s="32">
        <v>7</v>
      </c>
      <c r="CL64" s="9">
        <v>49</v>
      </c>
      <c r="CM64" s="7">
        <v>0.13080523393000476</v>
      </c>
      <c r="CN64" s="9">
        <f t="shared" si="9"/>
        <v>3</v>
      </c>
      <c r="CO64" s="38">
        <f>AVERAGE(CN$6:CN64)</f>
        <v>4.5510204081632653</v>
      </c>
      <c r="CP64" s="32">
        <f t="shared" ref="CP64" si="135">SUM(CN64:CN71)</f>
        <v>41</v>
      </c>
      <c r="CQ64" s="9"/>
      <c r="CR64" s="32">
        <v>7</v>
      </c>
      <c r="CS64" s="9">
        <v>49</v>
      </c>
      <c r="CT64" s="7">
        <v>0.33714501888607629</v>
      </c>
      <c r="CU64" s="9">
        <f t="shared" si="10"/>
        <v>4</v>
      </c>
      <c r="CV64" s="38">
        <f>AVERAGE(CU$6:CU64)</f>
        <v>4.7551020408163263</v>
      </c>
      <c r="CW64" s="32">
        <f t="shared" ref="CW64" si="136">SUM(CU64:CU71)</f>
        <v>41</v>
      </c>
      <c r="CX64" s="9"/>
      <c r="CY64" s="32">
        <v>7</v>
      </c>
      <c r="CZ64" s="9">
        <v>49</v>
      </c>
      <c r="DA64" s="7">
        <v>0.59237509503145702</v>
      </c>
      <c r="DB64" s="9">
        <f t="shared" si="11"/>
        <v>5</v>
      </c>
      <c r="DC64" s="38">
        <f>AVERAGE(DB$6:DB64)</f>
        <v>4.8367346938775508</v>
      </c>
      <c r="DD64" s="32">
        <f t="shared" ref="DD64" si="137">SUM(DB64:DB71)</f>
        <v>45</v>
      </c>
      <c r="DE64" s="9"/>
      <c r="DF64" s="32">
        <v>7</v>
      </c>
      <c r="DG64" s="9">
        <v>49</v>
      </c>
      <c r="DH64" s="7">
        <v>0.30602946021826938</v>
      </c>
      <c r="DI64" s="9">
        <f t="shared" si="12"/>
        <v>4</v>
      </c>
      <c r="DJ64" s="38">
        <f>AVERAGE(DI$6:DI64)</f>
        <v>5.4897959183673466</v>
      </c>
      <c r="DK64" s="32">
        <f t="shared" ref="DK64" si="138">SUM(DI64:DI71)</f>
        <v>40</v>
      </c>
      <c r="DL64" s="9"/>
      <c r="DM64" s="32">
        <v>7</v>
      </c>
      <c r="DN64" s="9">
        <v>49</v>
      </c>
      <c r="DO64" s="7">
        <v>0.60103881062241271</v>
      </c>
      <c r="DP64" s="9">
        <f t="shared" si="13"/>
        <v>5</v>
      </c>
      <c r="DQ64" s="38">
        <f>AVERAGE(DP$6:DP64)</f>
        <v>5.2653061224489797</v>
      </c>
      <c r="DR64" s="32">
        <f t="shared" ref="DR64" si="139">SUM(DP64:DP71)</f>
        <v>45</v>
      </c>
      <c r="DS64" s="9"/>
      <c r="DT64" s="32">
        <v>7</v>
      </c>
      <c r="DU64" s="9">
        <v>49</v>
      </c>
      <c r="DV64" s="7">
        <v>0.49177463984233327</v>
      </c>
      <c r="DW64" s="9">
        <f t="shared" si="14"/>
        <v>5</v>
      </c>
      <c r="DX64" s="38">
        <f>AVERAGE(DW$6:DW64)</f>
        <v>4.9387755102040813</v>
      </c>
      <c r="DY64" s="32">
        <f t="shared" ref="DY64" si="140">SUM(DW64:DW71)</f>
        <v>43</v>
      </c>
      <c r="DZ64" s="9"/>
      <c r="EA64" s="32">
        <v>7</v>
      </c>
      <c r="EB64" s="9">
        <v>49</v>
      </c>
      <c r="EC64" s="7">
        <v>8.4165912121534348E-2</v>
      </c>
      <c r="ED64" s="9">
        <f t="shared" si="15"/>
        <v>2</v>
      </c>
      <c r="EE64" s="38">
        <f>AVERAGE(ED$6:ED64)</f>
        <v>4.8775510204081636</v>
      </c>
      <c r="EF64" s="32">
        <f t="shared" ref="EF64" si="141">SUM(ED64:ED71)</f>
        <v>38</v>
      </c>
      <c r="EG64" s="9"/>
      <c r="EH64" s="32">
        <v>7</v>
      </c>
      <c r="EI64" s="9">
        <v>49</v>
      </c>
      <c r="EJ64" s="7">
        <v>0.49395757683669217</v>
      </c>
      <c r="EK64" s="9">
        <f t="shared" si="16"/>
        <v>5</v>
      </c>
      <c r="EL64" s="38">
        <f>AVERAGE(EK$6:EK64)</f>
        <v>4.7551020408163263</v>
      </c>
      <c r="EM64" s="32">
        <f t="shared" ref="EM64" si="142">SUM(EK64:EK71)</f>
        <v>36</v>
      </c>
      <c r="EN64" s="9"/>
      <c r="EO64" s="32">
        <v>7</v>
      </c>
      <c r="EP64" s="9">
        <v>49</v>
      </c>
      <c r="EQ64" s="7">
        <v>0.67585221619810909</v>
      </c>
      <c r="ER64" s="9">
        <f t="shared" si="17"/>
        <v>6</v>
      </c>
      <c r="ES64" s="38">
        <f>AVERAGE(ER$6:ER64)</f>
        <v>4.591836734693878</v>
      </c>
      <c r="ET64" s="32">
        <f t="shared" ref="ET64" si="143">SUM(ER64:ER71)</f>
        <v>48</v>
      </c>
    </row>
    <row r="65" spans="5:150" x14ac:dyDescent="0.25">
      <c r="E65" s="7"/>
      <c r="L65" s="32"/>
      <c r="M65" s="9">
        <v>50</v>
      </c>
      <c r="N65" s="7">
        <v>0.17824694575392641</v>
      </c>
      <c r="O65" s="9">
        <f t="shared" si="21"/>
        <v>3</v>
      </c>
      <c r="P65" s="38">
        <f>AVERAGE(O$6:O65)</f>
        <v>4.88</v>
      </c>
      <c r="Q65" s="32"/>
      <c r="R65" s="9"/>
      <c r="S65" s="32"/>
      <c r="T65" s="9">
        <v>50</v>
      </c>
      <c r="U65" s="7">
        <v>0.29019388274173252</v>
      </c>
      <c r="V65" s="9">
        <f t="shared" si="0"/>
        <v>4</v>
      </c>
      <c r="W65" s="38">
        <f>AVERAGE(V$6:V65)</f>
        <v>4.4400000000000004</v>
      </c>
      <c r="X65" s="32"/>
      <c r="Y65" s="9"/>
      <c r="Z65" s="32"/>
      <c r="AA65" s="9">
        <v>50</v>
      </c>
      <c r="AB65" s="7">
        <v>0.29208374911104329</v>
      </c>
      <c r="AC65" s="9">
        <f t="shared" si="1"/>
        <v>4</v>
      </c>
      <c r="AD65" s="38">
        <f>AVERAGE(AC$6:AC65)</f>
        <v>4.5999999999999996</v>
      </c>
      <c r="AE65" s="32"/>
      <c r="AF65" s="9"/>
      <c r="AG65" s="32"/>
      <c r="AH65" s="9">
        <v>50</v>
      </c>
      <c r="AI65" s="7">
        <v>0.40336366937845014</v>
      </c>
      <c r="AJ65" s="9">
        <f t="shared" si="2"/>
        <v>4</v>
      </c>
      <c r="AK65" s="38">
        <f>AVERAGE(AJ$6:AJ65)</f>
        <v>5</v>
      </c>
      <c r="AL65" s="32"/>
      <c r="AM65" s="9"/>
      <c r="AN65" s="32"/>
      <c r="AO65" s="9">
        <v>50</v>
      </c>
      <c r="AP65" s="7">
        <v>0.31431749640614726</v>
      </c>
      <c r="AQ65" s="9">
        <f t="shared" si="3"/>
        <v>4</v>
      </c>
      <c r="AR65" s="38">
        <f>AVERAGE(AQ$6:AQ65)</f>
        <v>4.92</v>
      </c>
      <c r="AS65" s="32"/>
      <c r="AT65" s="9"/>
      <c r="AU65" s="32"/>
      <c r="AV65" s="9">
        <v>50</v>
      </c>
      <c r="AW65" s="7">
        <v>9.5945005159592256E-2</v>
      </c>
      <c r="AX65" s="9">
        <f t="shared" si="4"/>
        <v>2</v>
      </c>
      <c r="AY65" s="38">
        <f>AVERAGE(AX$6:AX65)</f>
        <v>4.9000000000000004</v>
      </c>
      <c r="AZ65" s="32"/>
      <c r="BA65" s="9"/>
      <c r="BB65" s="32"/>
      <c r="BC65" s="9">
        <v>50</v>
      </c>
      <c r="BD65" s="7">
        <v>8.6921806156169623E-2</v>
      </c>
      <c r="BE65" s="9">
        <f t="shared" si="5"/>
        <v>2</v>
      </c>
      <c r="BF65" s="38">
        <f>AVERAGE(BE$6:BE65)</f>
        <v>5</v>
      </c>
      <c r="BG65" s="32"/>
      <c r="BH65" s="9"/>
      <c r="BI65" s="32"/>
      <c r="BJ65" s="9">
        <v>50</v>
      </c>
      <c r="BK65" s="7">
        <v>0.75269294509780593</v>
      </c>
      <c r="BL65" s="9">
        <f t="shared" si="6"/>
        <v>6</v>
      </c>
      <c r="BM65" s="38">
        <f>AVERAGE(BL$6:BL65)</f>
        <v>5.24</v>
      </c>
      <c r="BN65" s="32"/>
      <c r="BO65" s="9"/>
      <c r="BP65" s="32"/>
      <c r="BQ65" s="9">
        <v>50</v>
      </c>
      <c r="BR65" s="7">
        <v>0.24643043745891191</v>
      </c>
      <c r="BS65" s="9">
        <f t="shared" si="7"/>
        <v>3</v>
      </c>
      <c r="BT65" s="38">
        <f>AVERAGE(BS$6:BS65)</f>
        <v>4.72</v>
      </c>
      <c r="BU65" s="32"/>
      <c r="BV65" s="9"/>
      <c r="BW65" s="32"/>
      <c r="BX65" s="9">
        <v>50</v>
      </c>
      <c r="BY65" s="7">
        <v>0.98937123452196829</v>
      </c>
      <c r="BZ65" s="9">
        <f t="shared" si="8"/>
        <v>11</v>
      </c>
      <c r="CA65" s="38">
        <f>AVERAGE(BZ$6:BZ65)</f>
        <v>4.42</v>
      </c>
      <c r="CB65" s="32"/>
      <c r="CC65" s="9"/>
      <c r="CD65" s="32"/>
      <c r="CE65" s="9">
        <v>50</v>
      </c>
      <c r="CF65" s="7">
        <v>0.11762291952618398</v>
      </c>
      <c r="CG65" s="9">
        <f t="shared" si="22"/>
        <v>2</v>
      </c>
      <c r="CH65" s="38">
        <f>AVERAGE(CG$6:CG65)</f>
        <v>4.78</v>
      </c>
      <c r="CI65" s="32"/>
      <c r="CJ65" s="9"/>
      <c r="CK65" s="32"/>
      <c r="CL65" s="9">
        <v>50</v>
      </c>
      <c r="CM65" s="7">
        <v>0.36469547398155555</v>
      </c>
      <c r="CN65" s="9">
        <f t="shared" si="9"/>
        <v>4</v>
      </c>
      <c r="CO65" s="38">
        <f>AVERAGE(CN$6:CN65)</f>
        <v>4.54</v>
      </c>
      <c r="CP65" s="32"/>
      <c r="CQ65" s="9"/>
      <c r="CR65" s="32"/>
      <c r="CS65" s="9">
        <v>50</v>
      </c>
      <c r="CT65" s="7">
        <v>0.62968472635839134</v>
      </c>
      <c r="CU65" s="9">
        <f t="shared" si="10"/>
        <v>6</v>
      </c>
      <c r="CV65" s="38">
        <f>AVERAGE(CU$6:CU65)</f>
        <v>4.78</v>
      </c>
      <c r="CW65" s="32"/>
      <c r="CX65" s="9"/>
      <c r="CY65" s="32"/>
      <c r="CZ65" s="9">
        <v>50</v>
      </c>
      <c r="DA65" s="7">
        <v>7.3173941229470074E-2</v>
      </c>
      <c r="DB65" s="9">
        <f t="shared" si="11"/>
        <v>2</v>
      </c>
      <c r="DC65" s="38">
        <f>AVERAGE(DB$6:DB65)</f>
        <v>4.78</v>
      </c>
      <c r="DD65" s="32"/>
      <c r="DE65" s="9"/>
      <c r="DF65" s="32"/>
      <c r="DG65" s="9">
        <v>50</v>
      </c>
      <c r="DH65" s="7">
        <v>0.60517201243783347</v>
      </c>
      <c r="DI65" s="9">
        <f t="shared" si="12"/>
        <v>5</v>
      </c>
      <c r="DJ65" s="38">
        <f>AVERAGE(DI$6:DI65)</f>
        <v>5.48</v>
      </c>
      <c r="DK65" s="32"/>
      <c r="DL65" s="9"/>
      <c r="DM65" s="32"/>
      <c r="DN65" s="9">
        <v>50</v>
      </c>
      <c r="DO65" s="7">
        <v>0.53498747057165019</v>
      </c>
      <c r="DP65" s="9">
        <f t="shared" si="13"/>
        <v>5</v>
      </c>
      <c r="DQ65" s="38">
        <f>AVERAGE(DP$6:DP65)</f>
        <v>5.26</v>
      </c>
      <c r="DR65" s="32"/>
      <c r="DS65" s="9"/>
      <c r="DT65" s="32"/>
      <c r="DU65" s="9">
        <v>50</v>
      </c>
      <c r="DV65" s="7">
        <v>0.26393951883073896</v>
      </c>
      <c r="DW65" s="9">
        <f t="shared" si="14"/>
        <v>3</v>
      </c>
      <c r="DX65" s="38">
        <f>AVERAGE(DW$6:DW65)</f>
        <v>4.9000000000000004</v>
      </c>
      <c r="DY65" s="32"/>
      <c r="DZ65" s="9"/>
      <c r="EA65" s="32"/>
      <c r="EB65" s="9">
        <v>50</v>
      </c>
      <c r="EC65" s="7">
        <v>0.34544474261929281</v>
      </c>
      <c r="ED65" s="9">
        <f t="shared" si="15"/>
        <v>4</v>
      </c>
      <c r="EE65" s="38">
        <f>AVERAGE(ED$6:ED65)</f>
        <v>4.8600000000000003</v>
      </c>
      <c r="EF65" s="32"/>
      <c r="EG65" s="9"/>
      <c r="EH65" s="32"/>
      <c r="EI65" s="9">
        <v>50</v>
      </c>
      <c r="EJ65" s="7">
        <v>0.38815207092557102</v>
      </c>
      <c r="EK65" s="9">
        <f t="shared" si="16"/>
        <v>4</v>
      </c>
      <c r="EL65" s="38">
        <f>AVERAGE(EK$6:EK65)</f>
        <v>4.74</v>
      </c>
      <c r="EM65" s="32"/>
      <c r="EN65" s="9"/>
      <c r="EO65" s="32"/>
      <c r="EP65" s="9">
        <v>50</v>
      </c>
      <c r="EQ65" s="7">
        <v>6.3891342055285349E-2</v>
      </c>
      <c r="ER65" s="9">
        <f t="shared" si="17"/>
        <v>2</v>
      </c>
      <c r="ES65" s="38">
        <f>AVERAGE(ER$6:ER65)</f>
        <v>4.54</v>
      </c>
      <c r="ET65" s="32"/>
    </row>
    <row r="66" spans="5:150" x14ac:dyDescent="0.25">
      <c r="E66" s="7"/>
      <c r="L66" s="32"/>
      <c r="M66" s="9">
        <v>51</v>
      </c>
      <c r="N66" s="7">
        <v>0.79717706330120564</v>
      </c>
      <c r="O66" s="9">
        <f t="shared" si="21"/>
        <v>7</v>
      </c>
      <c r="P66" s="38">
        <f>AVERAGE(O$6:O66)</f>
        <v>4.9215686274509807</v>
      </c>
      <c r="Q66" s="32"/>
      <c r="R66" s="9"/>
      <c r="S66" s="32"/>
      <c r="T66" s="9">
        <v>51</v>
      </c>
      <c r="U66" s="7">
        <v>0.4498496120213531</v>
      </c>
      <c r="V66" s="9">
        <f t="shared" si="0"/>
        <v>5</v>
      </c>
      <c r="W66" s="38">
        <f>AVERAGE(V$6:V66)</f>
        <v>4.4509803921568629</v>
      </c>
      <c r="X66" s="32"/>
      <c r="Y66" s="9"/>
      <c r="Z66" s="32"/>
      <c r="AA66" s="9">
        <v>51</v>
      </c>
      <c r="AB66" s="7">
        <v>0.42313079221639782</v>
      </c>
      <c r="AC66" s="9">
        <f t="shared" si="1"/>
        <v>4</v>
      </c>
      <c r="AD66" s="38">
        <f>AVERAGE(AC$6:AC66)</f>
        <v>4.5882352941176467</v>
      </c>
      <c r="AE66" s="32"/>
      <c r="AF66" s="9"/>
      <c r="AG66" s="32"/>
      <c r="AH66" s="9">
        <v>51</v>
      </c>
      <c r="AI66" s="7">
        <v>0.73228972993092611</v>
      </c>
      <c r="AJ66" s="9">
        <f t="shared" si="2"/>
        <v>6</v>
      </c>
      <c r="AK66" s="38">
        <f>AVERAGE(AJ$6:AJ66)</f>
        <v>5.0196078431372548</v>
      </c>
      <c r="AL66" s="32"/>
      <c r="AM66" s="9"/>
      <c r="AN66" s="32"/>
      <c r="AO66" s="9">
        <v>51</v>
      </c>
      <c r="AP66" s="7">
        <v>0.87351064919494092</v>
      </c>
      <c r="AQ66" s="9">
        <f t="shared" si="3"/>
        <v>8</v>
      </c>
      <c r="AR66" s="38">
        <f>AVERAGE(AQ$6:AQ66)</f>
        <v>4.9803921568627452</v>
      </c>
      <c r="AS66" s="32"/>
      <c r="AT66" s="9"/>
      <c r="AU66" s="32"/>
      <c r="AV66" s="9">
        <v>51</v>
      </c>
      <c r="AW66" s="7">
        <v>0.41167765721911564</v>
      </c>
      <c r="AX66" s="9">
        <f t="shared" si="4"/>
        <v>4</v>
      </c>
      <c r="AY66" s="38">
        <f>AVERAGE(AX$6:AX66)</f>
        <v>4.882352941176471</v>
      </c>
      <c r="AZ66" s="32"/>
      <c r="BA66" s="9"/>
      <c r="BB66" s="32"/>
      <c r="BC66" s="9">
        <v>51</v>
      </c>
      <c r="BD66" s="7">
        <v>0.76473017045645975</v>
      </c>
      <c r="BE66" s="9">
        <f t="shared" si="5"/>
        <v>7</v>
      </c>
      <c r="BF66" s="38">
        <f>AVERAGE(BE$6:BE66)</f>
        <v>5.0392156862745097</v>
      </c>
      <c r="BG66" s="32"/>
      <c r="BH66" s="9"/>
      <c r="BI66" s="32"/>
      <c r="BJ66" s="9">
        <v>51</v>
      </c>
      <c r="BK66" s="7">
        <v>0.6368667253991589</v>
      </c>
      <c r="BL66" s="9">
        <f t="shared" si="6"/>
        <v>6</v>
      </c>
      <c r="BM66" s="38">
        <f>AVERAGE(BL$6:BL66)</f>
        <v>5.2549019607843137</v>
      </c>
      <c r="BN66" s="32"/>
      <c r="BO66" s="9"/>
      <c r="BP66" s="32"/>
      <c r="BQ66" s="9">
        <v>51</v>
      </c>
      <c r="BR66" s="7">
        <v>0.91167529136873782</v>
      </c>
      <c r="BS66" s="9">
        <f t="shared" si="7"/>
        <v>8</v>
      </c>
      <c r="BT66" s="38">
        <f>AVERAGE(BS$6:BS66)</f>
        <v>4.784313725490196</v>
      </c>
      <c r="BU66" s="32"/>
      <c r="BV66" s="9"/>
      <c r="BW66" s="32"/>
      <c r="BX66" s="9">
        <v>51</v>
      </c>
      <c r="BY66" s="7">
        <v>0.52618577884277329</v>
      </c>
      <c r="BZ66" s="9">
        <f t="shared" si="8"/>
        <v>5</v>
      </c>
      <c r="CA66" s="38">
        <f>AVERAGE(BZ$6:BZ66)</f>
        <v>4.4313725490196081</v>
      </c>
      <c r="CB66" s="32"/>
      <c r="CC66" s="9"/>
      <c r="CD66" s="32"/>
      <c r="CE66" s="9">
        <v>51</v>
      </c>
      <c r="CF66" s="7">
        <v>0.57580355601385236</v>
      </c>
      <c r="CG66" s="9">
        <f t="shared" si="22"/>
        <v>5</v>
      </c>
      <c r="CH66" s="38">
        <f>AVERAGE(CG$6:CG66)</f>
        <v>4.784313725490196</v>
      </c>
      <c r="CI66" s="32"/>
      <c r="CJ66" s="9"/>
      <c r="CK66" s="32"/>
      <c r="CL66" s="9">
        <v>51</v>
      </c>
      <c r="CM66" s="7">
        <v>0.81816910053021275</v>
      </c>
      <c r="CN66" s="9">
        <f t="shared" si="9"/>
        <v>7</v>
      </c>
      <c r="CO66" s="38">
        <f>AVERAGE(CN$6:CN66)</f>
        <v>4.5882352941176467</v>
      </c>
      <c r="CP66" s="32"/>
      <c r="CQ66" s="9"/>
      <c r="CR66" s="32"/>
      <c r="CS66" s="9">
        <v>51</v>
      </c>
      <c r="CT66" s="7">
        <v>0.28763407460064627</v>
      </c>
      <c r="CU66" s="9">
        <f t="shared" si="10"/>
        <v>4</v>
      </c>
      <c r="CV66" s="38">
        <f>AVERAGE(CU$6:CU66)</f>
        <v>4.7647058823529411</v>
      </c>
      <c r="CW66" s="32"/>
      <c r="CX66" s="9"/>
      <c r="CY66" s="32"/>
      <c r="CZ66" s="9">
        <v>51</v>
      </c>
      <c r="DA66" s="7">
        <v>0.68457973320619203</v>
      </c>
      <c r="DB66" s="9">
        <f t="shared" si="11"/>
        <v>6</v>
      </c>
      <c r="DC66" s="38">
        <f>AVERAGE(DB$6:DB66)</f>
        <v>4.8039215686274508</v>
      </c>
      <c r="DD66" s="32"/>
      <c r="DE66" s="9"/>
      <c r="DF66" s="32"/>
      <c r="DG66" s="9">
        <v>51</v>
      </c>
      <c r="DH66" s="7">
        <v>0.66358640551334247</v>
      </c>
      <c r="DI66" s="9">
        <f t="shared" si="12"/>
        <v>6</v>
      </c>
      <c r="DJ66" s="38">
        <f>AVERAGE(DI$6:DI66)</f>
        <v>5.4901960784313726</v>
      </c>
      <c r="DK66" s="32"/>
      <c r="DL66" s="9"/>
      <c r="DM66" s="32"/>
      <c r="DN66" s="9">
        <v>51</v>
      </c>
      <c r="DO66" s="7">
        <v>0.51854734442895278</v>
      </c>
      <c r="DP66" s="9">
        <f t="shared" si="13"/>
        <v>5</v>
      </c>
      <c r="DQ66" s="38">
        <f>AVERAGE(DP$6:DP66)</f>
        <v>5.2549019607843137</v>
      </c>
      <c r="DR66" s="32"/>
      <c r="DS66" s="9"/>
      <c r="DT66" s="32"/>
      <c r="DU66" s="9">
        <v>51</v>
      </c>
      <c r="DV66" s="7">
        <v>0.9288521978596691</v>
      </c>
      <c r="DW66" s="9">
        <f t="shared" si="14"/>
        <v>8</v>
      </c>
      <c r="DX66" s="38">
        <f>AVERAGE(DW$6:DW66)</f>
        <v>4.9607843137254903</v>
      </c>
      <c r="DY66" s="32"/>
      <c r="DZ66" s="9"/>
      <c r="EA66" s="32"/>
      <c r="EB66" s="9">
        <v>51</v>
      </c>
      <c r="EC66" s="7">
        <v>0.90404244896490127</v>
      </c>
      <c r="ED66" s="9">
        <f t="shared" si="15"/>
        <v>8</v>
      </c>
      <c r="EE66" s="38">
        <f>AVERAGE(ED$6:ED66)</f>
        <v>4.9215686274509807</v>
      </c>
      <c r="EF66" s="32"/>
      <c r="EG66" s="9"/>
      <c r="EH66" s="32"/>
      <c r="EI66" s="9">
        <v>51</v>
      </c>
      <c r="EJ66" s="7">
        <v>0.89831652669818141</v>
      </c>
      <c r="EK66" s="9">
        <f t="shared" si="16"/>
        <v>8</v>
      </c>
      <c r="EL66" s="38">
        <f>AVERAGE(EK$6:EK66)</f>
        <v>4.8039215686274508</v>
      </c>
      <c r="EM66" s="32"/>
      <c r="EN66" s="9"/>
      <c r="EO66" s="32"/>
      <c r="EP66" s="9">
        <v>51</v>
      </c>
      <c r="EQ66" s="7">
        <v>0.90404115850105882</v>
      </c>
      <c r="ER66" s="9">
        <f t="shared" si="17"/>
        <v>8</v>
      </c>
      <c r="ES66" s="38">
        <f>AVERAGE(ER$6:ER66)</f>
        <v>4.6078431372549016</v>
      </c>
      <c r="ET66" s="32"/>
    </row>
    <row r="67" spans="5:150" x14ac:dyDescent="0.25">
      <c r="E67" s="7"/>
      <c r="L67" s="32"/>
      <c r="M67" s="9">
        <v>52</v>
      </c>
      <c r="N67" s="7">
        <v>0.54618760015000589</v>
      </c>
      <c r="O67" s="9">
        <f t="shared" si="21"/>
        <v>5</v>
      </c>
      <c r="P67" s="38">
        <f>AVERAGE(O$6:O67)</f>
        <v>4.9230769230769234</v>
      </c>
      <c r="Q67" s="32"/>
      <c r="R67" s="9"/>
      <c r="S67" s="32"/>
      <c r="T67" s="9">
        <v>52</v>
      </c>
      <c r="U67" s="7">
        <v>0.67255019102594815</v>
      </c>
      <c r="V67" s="9">
        <f t="shared" si="0"/>
        <v>6</v>
      </c>
      <c r="W67" s="38">
        <f>AVERAGE(V$6:V67)</f>
        <v>4.4807692307692308</v>
      </c>
      <c r="X67" s="32"/>
      <c r="Y67" s="9"/>
      <c r="Z67" s="32"/>
      <c r="AA67" s="9">
        <v>52</v>
      </c>
      <c r="AB67" s="7">
        <v>0.91235799147398211</v>
      </c>
      <c r="AC67" s="9">
        <f t="shared" si="1"/>
        <v>8</v>
      </c>
      <c r="AD67" s="38">
        <f>AVERAGE(AC$6:AC67)</f>
        <v>4.6538461538461542</v>
      </c>
      <c r="AE67" s="32"/>
      <c r="AF67" s="9"/>
      <c r="AG67" s="32"/>
      <c r="AH67" s="9">
        <v>52</v>
      </c>
      <c r="AI67" s="7">
        <v>0.12921091445605271</v>
      </c>
      <c r="AJ67" s="9">
        <f t="shared" si="2"/>
        <v>3</v>
      </c>
      <c r="AK67" s="38">
        <f>AVERAGE(AJ$6:AJ67)</f>
        <v>4.9807692307692308</v>
      </c>
      <c r="AL67" s="32"/>
      <c r="AM67" s="9"/>
      <c r="AN67" s="32"/>
      <c r="AO67" s="9">
        <v>52</v>
      </c>
      <c r="AP67" s="7">
        <v>0.85798433542368002</v>
      </c>
      <c r="AQ67" s="9">
        <f t="shared" si="3"/>
        <v>7</v>
      </c>
      <c r="AR67" s="38">
        <f>AVERAGE(AQ$6:AQ67)</f>
        <v>5.0192307692307692</v>
      </c>
      <c r="AS67" s="32"/>
      <c r="AT67" s="9"/>
      <c r="AU67" s="32"/>
      <c r="AV67" s="9">
        <v>52</v>
      </c>
      <c r="AW67" s="7">
        <v>1.3993467873660848E-2</v>
      </c>
      <c r="AX67" s="9">
        <f t="shared" si="4"/>
        <v>1</v>
      </c>
      <c r="AY67" s="38">
        <f>AVERAGE(AX$6:AX67)</f>
        <v>4.8076923076923075</v>
      </c>
      <c r="AZ67" s="32"/>
      <c r="BA67" s="9"/>
      <c r="BB67" s="32"/>
      <c r="BC67" s="9">
        <v>52</v>
      </c>
      <c r="BD67" s="7">
        <v>0.8360377851058729</v>
      </c>
      <c r="BE67" s="9">
        <f t="shared" si="5"/>
        <v>7</v>
      </c>
      <c r="BF67" s="38">
        <f>AVERAGE(BE$6:BE67)</f>
        <v>5.0769230769230766</v>
      </c>
      <c r="BG67" s="32"/>
      <c r="BH67" s="9"/>
      <c r="BI67" s="32"/>
      <c r="BJ67" s="9">
        <v>52</v>
      </c>
      <c r="BK67" s="7">
        <v>0.98636358059593476</v>
      </c>
      <c r="BL67" s="9">
        <f t="shared" si="6"/>
        <v>11</v>
      </c>
      <c r="BM67" s="38">
        <f>AVERAGE(BL$6:BL67)</f>
        <v>5.365384615384615</v>
      </c>
      <c r="BN67" s="32"/>
      <c r="BO67" s="9"/>
      <c r="BP67" s="32"/>
      <c r="BQ67" s="9">
        <v>52</v>
      </c>
      <c r="BR67" s="7">
        <v>0.51277505492907949</v>
      </c>
      <c r="BS67" s="9">
        <f t="shared" si="7"/>
        <v>5</v>
      </c>
      <c r="BT67" s="38">
        <f>AVERAGE(BS$6:BS67)</f>
        <v>4.7884615384615383</v>
      </c>
      <c r="BU67" s="32"/>
      <c r="BV67" s="9"/>
      <c r="BW67" s="32"/>
      <c r="BX67" s="9">
        <v>52</v>
      </c>
      <c r="BY67" s="7">
        <v>0.9856761040573474</v>
      </c>
      <c r="BZ67" s="9">
        <f t="shared" si="8"/>
        <v>10</v>
      </c>
      <c r="CA67" s="38">
        <f>AVERAGE(BZ$6:BZ67)</f>
        <v>4.5384615384615383</v>
      </c>
      <c r="CB67" s="32"/>
      <c r="CC67" s="9"/>
      <c r="CD67" s="32"/>
      <c r="CE67" s="9">
        <v>52</v>
      </c>
      <c r="CF67" s="7">
        <v>0.53883134716306813</v>
      </c>
      <c r="CG67" s="9">
        <f t="shared" si="22"/>
        <v>5</v>
      </c>
      <c r="CH67" s="38">
        <f>AVERAGE(CG$6:CG67)</f>
        <v>4.7884615384615383</v>
      </c>
      <c r="CI67" s="32"/>
      <c r="CJ67" s="9"/>
      <c r="CK67" s="32"/>
      <c r="CL67" s="9">
        <v>52</v>
      </c>
      <c r="CM67" s="7">
        <v>0.35708677308866754</v>
      </c>
      <c r="CN67" s="9">
        <f t="shared" si="9"/>
        <v>4</v>
      </c>
      <c r="CO67" s="38">
        <f>AVERAGE(CN$6:CN67)</f>
        <v>4.5769230769230766</v>
      </c>
      <c r="CP67" s="32"/>
      <c r="CQ67" s="9"/>
      <c r="CR67" s="32"/>
      <c r="CS67" s="9">
        <v>52</v>
      </c>
      <c r="CT67" s="7">
        <v>0.13154841936193407</v>
      </c>
      <c r="CU67" s="9">
        <f t="shared" si="10"/>
        <v>3</v>
      </c>
      <c r="CV67" s="38">
        <f>AVERAGE(CU$6:CU67)</f>
        <v>4.7307692307692308</v>
      </c>
      <c r="CW67" s="32"/>
      <c r="CX67" s="9"/>
      <c r="CY67" s="32"/>
      <c r="CZ67" s="9">
        <v>52</v>
      </c>
      <c r="DA67" s="7">
        <v>0.55856260121800005</v>
      </c>
      <c r="DB67" s="9">
        <f t="shared" si="11"/>
        <v>5</v>
      </c>
      <c r="DC67" s="38">
        <f>AVERAGE(DB$6:DB67)</f>
        <v>4.8076923076923075</v>
      </c>
      <c r="DD67" s="32"/>
      <c r="DE67" s="9"/>
      <c r="DF67" s="32"/>
      <c r="DG67" s="9">
        <v>52</v>
      </c>
      <c r="DH67" s="7">
        <v>0.74699883940047584</v>
      </c>
      <c r="DI67" s="9">
        <f t="shared" si="12"/>
        <v>6</v>
      </c>
      <c r="DJ67" s="38">
        <f>AVERAGE(DI$6:DI67)</f>
        <v>5.5</v>
      </c>
      <c r="DK67" s="32"/>
      <c r="DL67" s="9"/>
      <c r="DM67" s="32"/>
      <c r="DN67" s="9">
        <v>52</v>
      </c>
      <c r="DO67" s="7">
        <v>5.1882380939787254E-2</v>
      </c>
      <c r="DP67" s="9">
        <f t="shared" si="13"/>
        <v>2</v>
      </c>
      <c r="DQ67" s="38">
        <f>AVERAGE(DP$6:DP67)</f>
        <v>5.1923076923076925</v>
      </c>
      <c r="DR67" s="32"/>
      <c r="DS67" s="9"/>
      <c r="DT67" s="32"/>
      <c r="DU67" s="9">
        <v>52</v>
      </c>
      <c r="DV67" s="7">
        <v>0.3588818977586925</v>
      </c>
      <c r="DW67" s="9">
        <f t="shared" si="14"/>
        <v>4</v>
      </c>
      <c r="DX67" s="38">
        <f>AVERAGE(DW$6:DW67)</f>
        <v>4.9423076923076925</v>
      </c>
      <c r="DY67" s="32"/>
      <c r="DZ67" s="9"/>
      <c r="EA67" s="32"/>
      <c r="EB67" s="9">
        <v>52</v>
      </c>
      <c r="EC67" s="7">
        <v>0.5818612169532571</v>
      </c>
      <c r="ED67" s="9">
        <f t="shared" si="15"/>
        <v>5</v>
      </c>
      <c r="EE67" s="38">
        <f>AVERAGE(ED$6:ED67)</f>
        <v>4.9230769230769234</v>
      </c>
      <c r="EF67" s="32"/>
      <c r="EG67" s="9"/>
      <c r="EH67" s="32"/>
      <c r="EI67" s="9">
        <v>52</v>
      </c>
      <c r="EJ67" s="7">
        <v>0.63301124959252775</v>
      </c>
      <c r="EK67" s="9">
        <f t="shared" si="16"/>
        <v>6</v>
      </c>
      <c r="EL67" s="38">
        <f>AVERAGE(EK$6:EK67)</f>
        <v>4.8269230769230766</v>
      </c>
      <c r="EM67" s="32"/>
      <c r="EN67" s="9"/>
      <c r="EO67" s="32"/>
      <c r="EP67" s="9">
        <v>52</v>
      </c>
      <c r="EQ67" s="7">
        <v>0.58119662807439454</v>
      </c>
      <c r="ER67" s="9">
        <f t="shared" si="17"/>
        <v>5</v>
      </c>
      <c r="ES67" s="38">
        <f>AVERAGE(ER$6:ER67)</f>
        <v>4.615384615384615</v>
      </c>
      <c r="ET67" s="32"/>
    </row>
    <row r="68" spans="5:150" x14ac:dyDescent="0.25">
      <c r="E68" s="7"/>
      <c r="L68" s="32"/>
      <c r="M68" s="9">
        <v>53</v>
      </c>
      <c r="N68" s="7">
        <v>0.28661407728213817</v>
      </c>
      <c r="O68" s="9">
        <f t="shared" si="21"/>
        <v>4</v>
      </c>
      <c r="P68" s="38">
        <f>AVERAGE(O$6:O68)</f>
        <v>4.9056603773584904</v>
      </c>
      <c r="Q68" s="32"/>
      <c r="R68" s="9"/>
      <c r="S68" s="32"/>
      <c r="T68" s="9">
        <v>53</v>
      </c>
      <c r="U68" s="7">
        <v>0.36334837839240208</v>
      </c>
      <c r="V68" s="9">
        <f t="shared" si="0"/>
        <v>4</v>
      </c>
      <c r="W68" s="38">
        <f>AVERAGE(V$6:V68)</f>
        <v>4.4716981132075473</v>
      </c>
      <c r="X68" s="32"/>
      <c r="Y68" s="9"/>
      <c r="Z68" s="32"/>
      <c r="AA68" s="9">
        <v>53</v>
      </c>
      <c r="AB68" s="7">
        <v>0.8643656091298908</v>
      </c>
      <c r="AC68" s="9">
        <f t="shared" si="1"/>
        <v>7</v>
      </c>
      <c r="AD68" s="38">
        <f>AVERAGE(AC$6:AC68)</f>
        <v>4.6981132075471699</v>
      </c>
      <c r="AE68" s="32"/>
      <c r="AF68" s="9"/>
      <c r="AG68" s="32"/>
      <c r="AH68" s="9">
        <v>53</v>
      </c>
      <c r="AI68" s="7">
        <v>0.54362094489624724</v>
      </c>
      <c r="AJ68" s="9">
        <f t="shared" si="2"/>
        <v>5</v>
      </c>
      <c r="AK68" s="38">
        <f>AVERAGE(AJ$6:AJ68)</f>
        <v>4.9811320754716979</v>
      </c>
      <c r="AL68" s="32"/>
      <c r="AM68" s="9"/>
      <c r="AN68" s="32"/>
      <c r="AO68" s="9">
        <v>53</v>
      </c>
      <c r="AP68" s="7">
        <v>0.86193274322431535</v>
      </c>
      <c r="AQ68" s="9">
        <f t="shared" si="3"/>
        <v>7</v>
      </c>
      <c r="AR68" s="38">
        <f>AVERAGE(AQ$6:AQ68)</f>
        <v>5.0566037735849054</v>
      </c>
      <c r="AS68" s="32"/>
      <c r="AT68" s="9"/>
      <c r="AU68" s="32"/>
      <c r="AV68" s="9">
        <v>53</v>
      </c>
      <c r="AW68" s="7">
        <v>0.20663595496444032</v>
      </c>
      <c r="AX68" s="9">
        <f t="shared" si="4"/>
        <v>3</v>
      </c>
      <c r="AY68" s="38">
        <f>AVERAGE(AX$6:AX68)</f>
        <v>4.7735849056603774</v>
      </c>
      <c r="AZ68" s="32"/>
      <c r="BA68" s="9"/>
      <c r="BB68" s="32"/>
      <c r="BC68" s="9">
        <v>53</v>
      </c>
      <c r="BD68" s="7">
        <v>0.55945932955364697</v>
      </c>
      <c r="BE68" s="9">
        <f t="shared" si="5"/>
        <v>5</v>
      </c>
      <c r="BF68" s="38">
        <f>AVERAGE(BE$6:BE68)</f>
        <v>5.0754716981132075</v>
      </c>
      <c r="BG68" s="32"/>
      <c r="BH68" s="9"/>
      <c r="BI68" s="32"/>
      <c r="BJ68" s="9">
        <v>53</v>
      </c>
      <c r="BK68" s="7">
        <v>0.97724400693550706</v>
      </c>
      <c r="BL68" s="9">
        <f t="shared" si="6"/>
        <v>10</v>
      </c>
      <c r="BM68" s="38">
        <f>AVERAGE(BL$6:BL68)</f>
        <v>5.4528301886792452</v>
      </c>
      <c r="BN68" s="32"/>
      <c r="BO68" s="9"/>
      <c r="BP68" s="32"/>
      <c r="BQ68" s="9">
        <v>53</v>
      </c>
      <c r="BR68" s="7">
        <v>7.9153288505040109E-2</v>
      </c>
      <c r="BS68" s="9">
        <f t="shared" si="7"/>
        <v>2</v>
      </c>
      <c r="BT68" s="38">
        <f>AVERAGE(BS$6:BS68)</f>
        <v>4.7358490566037732</v>
      </c>
      <c r="BU68" s="32"/>
      <c r="BV68" s="9"/>
      <c r="BW68" s="32"/>
      <c r="BX68" s="9">
        <v>53</v>
      </c>
      <c r="BY68" s="7">
        <v>0.62319358956301585</v>
      </c>
      <c r="BZ68" s="9">
        <f t="shared" si="8"/>
        <v>6</v>
      </c>
      <c r="CA68" s="38">
        <f>AVERAGE(BZ$6:BZ68)</f>
        <v>4.5660377358490569</v>
      </c>
      <c r="CB68" s="32"/>
      <c r="CC68" s="9"/>
      <c r="CD68" s="32"/>
      <c r="CE68" s="9">
        <v>53</v>
      </c>
      <c r="CF68" s="7">
        <v>0.4981437890091911</v>
      </c>
      <c r="CG68" s="9">
        <f t="shared" si="22"/>
        <v>5</v>
      </c>
      <c r="CH68" s="38">
        <f>AVERAGE(CG$6:CG68)</f>
        <v>4.7924528301886795</v>
      </c>
      <c r="CI68" s="32"/>
      <c r="CJ68" s="9"/>
      <c r="CK68" s="32"/>
      <c r="CL68" s="9">
        <v>53</v>
      </c>
      <c r="CM68" s="7">
        <v>0.89968814069288783</v>
      </c>
      <c r="CN68" s="9">
        <f t="shared" si="9"/>
        <v>8</v>
      </c>
      <c r="CO68" s="38">
        <f>AVERAGE(CN$6:CN68)</f>
        <v>4.6415094339622645</v>
      </c>
      <c r="CP68" s="32"/>
      <c r="CQ68" s="9"/>
      <c r="CR68" s="32"/>
      <c r="CS68" s="9">
        <v>53</v>
      </c>
      <c r="CT68" s="7">
        <v>0.74743597142514773</v>
      </c>
      <c r="CU68" s="9">
        <f t="shared" si="10"/>
        <v>6</v>
      </c>
      <c r="CV68" s="38">
        <f>AVERAGE(CU$6:CU68)</f>
        <v>4.7547169811320753</v>
      </c>
      <c r="CW68" s="32"/>
      <c r="CX68" s="9"/>
      <c r="CY68" s="32"/>
      <c r="CZ68" s="9">
        <v>53</v>
      </c>
      <c r="DA68" s="7">
        <v>0.65973962729913183</v>
      </c>
      <c r="DB68" s="9">
        <f t="shared" si="11"/>
        <v>6</v>
      </c>
      <c r="DC68" s="38">
        <f>AVERAGE(DB$6:DB68)</f>
        <v>4.8301886792452828</v>
      </c>
      <c r="DD68" s="32"/>
      <c r="DE68" s="9"/>
      <c r="DF68" s="32"/>
      <c r="DG68" s="9">
        <v>53</v>
      </c>
      <c r="DH68" s="7">
        <v>0.70440229127416387</v>
      </c>
      <c r="DI68" s="9">
        <f t="shared" si="12"/>
        <v>6</v>
      </c>
      <c r="DJ68" s="38">
        <f>AVERAGE(DI$6:DI68)</f>
        <v>5.5094339622641506</v>
      </c>
      <c r="DK68" s="32"/>
      <c r="DL68" s="9"/>
      <c r="DM68" s="32"/>
      <c r="DN68" s="9">
        <v>53</v>
      </c>
      <c r="DO68" s="7">
        <v>0.71942618401953951</v>
      </c>
      <c r="DP68" s="9">
        <f t="shared" si="13"/>
        <v>6</v>
      </c>
      <c r="DQ68" s="38">
        <f>AVERAGE(DP$6:DP68)</f>
        <v>5.2075471698113205</v>
      </c>
      <c r="DR68" s="32"/>
      <c r="DS68" s="9"/>
      <c r="DT68" s="32"/>
      <c r="DU68" s="9">
        <v>53</v>
      </c>
      <c r="DV68" s="7">
        <v>0.82417734575574286</v>
      </c>
      <c r="DW68" s="9">
        <f t="shared" si="14"/>
        <v>7</v>
      </c>
      <c r="DX68" s="38">
        <f>AVERAGE(DW$6:DW68)</f>
        <v>4.9811320754716979</v>
      </c>
      <c r="DY68" s="32"/>
      <c r="DZ68" s="9"/>
      <c r="EA68" s="32"/>
      <c r="EB68" s="9">
        <v>53</v>
      </c>
      <c r="EC68" s="7">
        <v>0.65852673095650971</v>
      </c>
      <c r="ED68" s="9">
        <f t="shared" si="15"/>
        <v>6</v>
      </c>
      <c r="EE68" s="38">
        <f>AVERAGE(ED$6:ED68)</f>
        <v>4.9433962264150946</v>
      </c>
      <c r="EF68" s="32"/>
      <c r="EG68" s="9"/>
      <c r="EH68" s="32"/>
      <c r="EI68" s="9">
        <v>53</v>
      </c>
      <c r="EJ68" s="7">
        <v>7.9354018089361489E-4</v>
      </c>
      <c r="EK68" s="9">
        <f t="shared" si="16"/>
        <v>0</v>
      </c>
      <c r="EL68" s="38">
        <f>AVERAGE(EK$6:EK68)</f>
        <v>4.7358490566037732</v>
      </c>
      <c r="EM68" s="32"/>
      <c r="EN68" s="9"/>
      <c r="EO68" s="32"/>
      <c r="EP68" s="9">
        <v>53</v>
      </c>
      <c r="EQ68" s="7">
        <v>0.31626345834229141</v>
      </c>
      <c r="ER68" s="9">
        <f t="shared" si="17"/>
        <v>4</v>
      </c>
      <c r="ES68" s="38">
        <f>AVERAGE(ER$6:ER68)</f>
        <v>4.6037735849056602</v>
      </c>
      <c r="ET68" s="32"/>
    </row>
    <row r="69" spans="5:150" x14ac:dyDescent="0.25">
      <c r="E69" s="7"/>
      <c r="L69" s="32"/>
      <c r="M69" s="9">
        <v>54</v>
      </c>
      <c r="N69" s="7">
        <v>0.60624980033026077</v>
      </c>
      <c r="O69" s="9">
        <f t="shared" si="21"/>
        <v>5</v>
      </c>
      <c r="P69" s="38">
        <f>AVERAGE(O$6:O69)</f>
        <v>4.9074074074074074</v>
      </c>
      <c r="Q69" s="32"/>
      <c r="R69" s="9"/>
      <c r="S69" s="32"/>
      <c r="T69" s="9">
        <v>54</v>
      </c>
      <c r="U69" s="7">
        <v>0.12441487211617641</v>
      </c>
      <c r="V69" s="9">
        <f t="shared" si="0"/>
        <v>2</v>
      </c>
      <c r="W69" s="38">
        <f>AVERAGE(V$6:V69)</f>
        <v>4.4259259259259256</v>
      </c>
      <c r="X69" s="32"/>
      <c r="Y69" s="9"/>
      <c r="Z69" s="32"/>
      <c r="AA69" s="9">
        <v>54</v>
      </c>
      <c r="AB69" s="7">
        <v>0.14828870192286558</v>
      </c>
      <c r="AC69" s="9">
        <f t="shared" si="1"/>
        <v>3</v>
      </c>
      <c r="AD69" s="38">
        <f>AVERAGE(AC$6:AC69)</f>
        <v>4.666666666666667</v>
      </c>
      <c r="AE69" s="32"/>
      <c r="AF69" s="9"/>
      <c r="AG69" s="32"/>
      <c r="AH69" s="9">
        <v>54</v>
      </c>
      <c r="AI69" s="7">
        <v>0.96478662159643136</v>
      </c>
      <c r="AJ69" s="9">
        <f t="shared" si="2"/>
        <v>9</v>
      </c>
      <c r="AK69" s="38">
        <f>AVERAGE(AJ$6:AJ69)</f>
        <v>5.0555555555555554</v>
      </c>
      <c r="AL69" s="32"/>
      <c r="AM69" s="9"/>
      <c r="AN69" s="32"/>
      <c r="AO69" s="9">
        <v>54</v>
      </c>
      <c r="AP69" s="7">
        <v>0.89536276055150665</v>
      </c>
      <c r="AQ69" s="9">
        <f t="shared" si="3"/>
        <v>8</v>
      </c>
      <c r="AR69" s="38">
        <f>AVERAGE(AQ$6:AQ69)</f>
        <v>5.1111111111111107</v>
      </c>
      <c r="AS69" s="32"/>
      <c r="AT69" s="9"/>
      <c r="AU69" s="32"/>
      <c r="AV69" s="9">
        <v>54</v>
      </c>
      <c r="AW69" s="7">
        <v>0.41751680671586655</v>
      </c>
      <c r="AX69" s="9">
        <f t="shared" si="4"/>
        <v>4</v>
      </c>
      <c r="AY69" s="38">
        <f>AVERAGE(AX$6:AX69)</f>
        <v>4.7592592592592595</v>
      </c>
      <c r="AZ69" s="32"/>
      <c r="BA69" s="9"/>
      <c r="BB69" s="32"/>
      <c r="BC69" s="9">
        <v>54</v>
      </c>
      <c r="BD69" s="7">
        <v>0.12155472015729174</v>
      </c>
      <c r="BE69" s="9">
        <f t="shared" si="5"/>
        <v>2</v>
      </c>
      <c r="BF69" s="38">
        <f>AVERAGE(BE$6:BE69)</f>
        <v>5.0185185185185182</v>
      </c>
      <c r="BG69" s="32"/>
      <c r="BH69" s="9"/>
      <c r="BI69" s="32"/>
      <c r="BJ69" s="9">
        <v>54</v>
      </c>
      <c r="BK69" s="7">
        <v>0.28066357181523927</v>
      </c>
      <c r="BL69" s="9">
        <f t="shared" si="6"/>
        <v>4</v>
      </c>
      <c r="BM69" s="38">
        <f>AVERAGE(BL$6:BL69)</f>
        <v>5.4259259259259256</v>
      </c>
      <c r="BN69" s="32"/>
      <c r="BO69" s="9"/>
      <c r="BP69" s="32"/>
      <c r="BQ69" s="9">
        <v>54</v>
      </c>
      <c r="BR69" s="7">
        <v>0.76394358012476005</v>
      </c>
      <c r="BS69" s="9">
        <f t="shared" si="7"/>
        <v>7</v>
      </c>
      <c r="BT69" s="38">
        <f>AVERAGE(BS$6:BS69)</f>
        <v>4.7777777777777777</v>
      </c>
      <c r="BU69" s="32"/>
      <c r="BV69" s="9"/>
      <c r="BW69" s="32"/>
      <c r="BX69" s="9">
        <v>54</v>
      </c>
      <c r="BY69" s="7">
        <v>0.94469862498226576</v>
      </c>
      <c r="BZ69" s="9">
        <f t="shared" si="8"/>
        <v>9</v>
      </c>
      <c r="CA69" s="38">
        <f>AVERAGE(BZ$6:BZ69)</f>
        <v>4.6481481481481479</v>
      </c>
      <c r="CB69" s="32"/>
      <c r="CC69" s="9"/>
      <c r="CD69" s="32"/>
      <c r="CE69" s="9">
        <v>54</v>
      </c>
      <c r="CF69" s="7">
        <v>0.54405133976251818</v>
      </c>
      <c r="CG69" s="9">
        <f t="shared" si="22"/>
        <v>5</v>
      </c>
      <c r="CH69" s="38">
        <f>AVERAGE(CG$6:CG69)</f>
        <v>4.7962962962962967</v>
      </c>
      <c r="CI69" s="32"/>
      <c r="CJ69" s="9"/>
      <c r="CK69" s="32"/>
      <c r="CL69" s="9">
        <v>54</v>
      </c>
      <c r="CM69" s="7">
        <v>0.33939245686633512</v>
      </c>
      <c r="CN69" s="9">
        <f t="shared" si="9"/>
        <v>4</v>
      </c>
      <c r="CO69" s="38">
        <f>AVERAGE(CN$6:CN69)</f>
        <v>4.6296296296296298</v>
      </c>
      <c r="CP69" s="32"/>
      <c r="CQ69" s="9"/>
      <c r="CR69" s="32"/>
      <c r="CS69" s="9">
        <v>54</v>
      </c>
      <c r="CT69" s="7">
        <v>0.9295252839801833</v>
      </c>
      <c r="CU69" s="9">
        <f t="shared" si="10"/>
        <v>8</v>
      </c>
      <c r="CV69" s="38">
        <f>AVERAGE(CU$6:CU69)</f>
        <v>4.8148148148148149</v>
      </c>
      <c r="CW69" s="32"/>
      <c r="CX69" s="9"/>
      <c r="CY69" s="32"/>
      <c r="CZ69" s="9">
        <v>54</v>
      </c>
      <c r="DA69" s="7">
        <v>0.765908059081994</v>
      </c>
      <c r="DB69" s="9">
        <f t="shared" si="11"/>
        <v>7</v>
      </c>
      <c r="DC69" s="38">
        <f>AVERAGE(DB$6:DB69)</f>
        <v>4.8703703703703702</v>
      </c>
      <c r="DD69" s="32"/>
      <c r="DE69" s="9"/>
      <c r="DF69" s="32"/>
      <c r="DG69" s="9">
        <v>54</v>
      </c>
      <c r="DH69" s="7">
        <v>0.76718000622349791</v>
      </c>
      <c r="DI69" s="9">
        <f t="shared" si="12"/>
        <v>7</v>
      </c>
      <c r="DJ69" s="38">
        <f>AVERAGE(DI$6:DI69)</f>
        <v>5.5370370370370372</v>
      </c>
      <c r="DK69" s="32"/>
      <c r="DL69" s="9"/>
      <c r="DM69" s="32"/>
      <c r="DN69" s="9">
        <v>54</v>
      </c>
      <c r="DO69" s="7">
        <v>0.50448477009194903</v>
      </c>
      <c r="DP69" s="9">
        <f t="shared" si="13"/>
        <v>5</v>
      </c>
      <c r="DQ69" s="38">
        <f>AVERAGE(DP$6:DP69)</f>
        <v>5.2037037037037033</v>
      </c>
      <c r="DR69" s="32"/>
      <c r="DS69" s="9"/>
      <c r="DT69" s="32"/>
      <c r="DU69" s="9">
        <v>54</v>
      </c>
      <c r="DV69" s="7">
        <v>0.45133306423667818</v>
      </c>
      <c r="DW69" s="9">
        <f t="shared" si="14"/>
        <v>5</v>
      </c>
      <c r="DX69" s="38">
        <f>AVERAGE(DW$6:DW69)</f>
        <v>4.9814814814814818</v>
      </c>
      <c r="DY69" s="32"/>
      <c r="DZ69" s="9"/>
      <c r="EA69" s="32"/>
      <c r="EB69" s="9">
        <v>54</v>
      </c>
      <c r="EC69" s="7">
        <v>0.14126644263160415</v>
      </c>
      <c r="ED69" s="9">
        <f t="shared" si="15"/>
        <v>3</v>
      </c>
      <c r="EE69" s="38">
        <f>AVERAGE(ED$6:ED69)</f>
        <v>4.9074074074074074</v>
      </c>
      <c r="EF69" s="32"/>
      <c r="EG69" s="9"/>
      <c r="EH69" s="32"/>
      <c r="EI69" s="9">
        <v>54</v>
      </c>
      <c r="EJ69" s="7">
        <v>0.4086731931893155</v>
      </c>
      <c r="EK69" s="9">
        <f t="shared" si="16"/>
        <v>4</v>
      </c>
      <c r="EL69" s="38">
        <f>AVERAGE(EK$6:EK69)</f>
        <v>4.7222222222222223</v>
      </c>
      <c r="EM69" s="32"/>
      <c r="EN69" s="9"/>
      <c r="EO69" s="32"/>
      <c r="EP69" s="9">
        <v>54</v>
      </c>
      <c r="EQ69" s="7">
        <v>0.87568104630918242</v>
      </c>
      <c r="ER69" s="9">
        <f t="shared" si="17"/>
        <v>8</v>
      </c>
      <c r="ES69" s="38">
        <f>AVERAGE(ER$6:ER69)</f>
        <v>4.666666666666667</v>
      </c>
      <c r="ET69" s="32"/>
    </row>
    <row r="70" spans="5:150" x14ac:dyDescent="0.25">
      <c r="E70" s="7"/>
      <c r="L70" s="32"/>
      <c r="M70" s="9">
        <v>55</v>
      </c>
      <c r="N70" s="7">
        <v>0.21864717011339962</v>
      </c>
      <c r="O70" s="9">
        <f t="shared" si="21"/>
        <v>3</v>
      </c>
      <c r="P70" s="38">
        <f>AVERAGE(O$6:O70)</f>
        <v>4.872727272727273</v>
      </c>
      <c r="Q70" s="32"/>
      <c r="R70" s="9"/>
      <c r="S70" s="32"/>
      <c r="T70" s="9">
        <v>55</v>
      </c>
      <c r="U70" s="7">
        <v>7.3659139859955758E-2</v>
      </c>
      <c r="V70" s="9">
        <f t="shared" si="0"/>
        <v>2</v>
      </c>
      <c r="W70" s="38">
        <f>AVERAGE(V$6:V70)</f>
        <v>4.3818181818181818</v>
      </c>
      <c r="X70" s="32"/>
      <c r="Y70" s="9"/>
      <c r="Z70" s="32"/>
      <c r="AA70" s="9">
        <v>55</v>
      </c>
      <c r="AB70" s="7">
        <v>0.36868149030487984</v>
      </c>
      <c r="AC70" s="9">
        <f t="shared" si="1"/>
        <v>4</v>
      </c>
      <c r="AD70" s="38">
        <f>AVERAGE(AC$6:AC70)</f>
        <v>4.6545454545454543</v>
      </c>
      <c r="AE70" s="32"/>
      <c r="AF70" s="9"/>
      <c r="AG70" s="32"/>
      <c r="AH70" s="9">
        <v>55</v>
      </c>
      <c r="AI70" s="7">
        <v>0.86511012219125405</v>
      </c>
      <c r="AJ70" s="9">
        <f t="shared" si="2"/>
        <v>7</v>
      </c>
      <c r="AK70" s="38">
        <f>AVERAGE(AJ$6:AJ70)</f>
        <v>5.0909090909090908</v>
      </c>
      <c r="AL70" s="32"/>
      <c r="AM70" s="9"/>
      <c r="AN70" s="32"/>
      <c r="AO70" s="9">
        <v>55</v>
      </c>
      <c r="AP70" s="7">
        <v>0.11182168405503035</v>
      </c>
      <c r="AQ70" s="9">
        <f t="shared" si="3"/>
        <v>2</v>
      </c>
      <c r="AR70" s="38">
        <f>AVERAGE(AQ$6:AQ70)</f>
        <v>5.0545454545454547</v>
      </c>
      <c r="AS70" s="32"/>
      <c r="AT70" s="9"/>
      <c r="AU70" s="32"/>
      <c r="AV70" s="9">
        <v>55</v>
      </c>
      <c r="AW70" s="7">
        <v>2.1155458700377494E-2</v>
      </c>
      <c r="AX70" s="9">
        <f t="shared" si="4"/>
        <v>1</v>
      </c>
      <c r="AY70" s="38">
        <f>AVERAGE(AX$6:AX70)</f>
        <v>4.6909090909090905</v>
      </c>
      <c r="AZ70" s="32"/>
      <c r="BA70" s="9"/>
      <c r="BB70" s="32"/>
      <c r="BC70" s="9">
        <v>55</v>
      </c>
      <c r="BD70" s="7">
        <v>0.60068088103435002</v>
      </c>
      <c r="BE70" s="9">
        <f t="shared" si="5"/>
        <v>5</v>
      </c>
      <c r="BF70" s="38">
        <f>AVERAGE(BE$6:BE70)</f>
        <v>5.0181818181818185</v>
      </c>
      <c r="BG70" s="32"/>
      <c r="BH70" s="9"/>
      <c r="BI70" s="32"/>
      <c r="BJ70" s="9">
        <v>55</v>
      </c>
      <c r="BK70" s="7">
        <v>0.54173948487732559</v>
      </c>
      <c r="BL70" s="9">
        <f t="shared" si="6"/>
        <v>5</v>
      </c>
      <c r="BM70" s="38">
        <f>AVERAGE(BL$6:BL70)</f>
        <v>5.418181818181818</v>
      </c>
      <c r="BN70" s="32"/>
      <c r="BO70" s="9"/>
      <c r="BP70" s="32"/>
      <c r="BQ70" s="9">
        <v>55</v>
      </c>
      <c r="BR70" s="7">
        <v>0.43094376428052783</v>
      </c>
      <c r="BS70" s="9">
        <f t="shared" si="7"/>
        <v>4</v>
      </c>
      <c r="BT70" s="38">
        <f>AVERAGE(BS$6:BS70)</f>
        <v>4.7636363636363637</v>
      </c>
      <c r="BU70" s="32"/>
      <c r="BV70" s="9"/>
      <c r="BW70" s="32"/>
      <c r="BX70" s="9">
        <v>55</v>
      </c>
      <c r="BY70" s="7">
        <v>0.51979186589596793</v>
      </c>
      <c r="BZ70" s="9">
        <f t="shared" si="8"/>
        <v>5</v>
      </c>
      <c r="CA70" s="38">
        <f>AVERAGE(BZ$6:BZ70)</f>
        <v>4.6545454545454543</v>
      </c>
      <c r="CB70" s="32"/>
      <c r="CC70" s="9"/>
      <c r="CD70" s="32"/>
      <c r="CE70" s="9">
        <v>55</v>
      </c>
      <c r="CF70" s="7">
        <v>0.18643997772596776</v>
      </c>
      <c r="CG70" s="9">
        <f t="shared" si="22"/>
        <v>3</v>
      </c>
      <c r="CH70" s="38">
        <f>AVERAGE(CG$6:CG70)</f>
        <v>4.7636363636363637</v>
      </c>
      <c r="CI70" s="32"/>
      <c r="CJ70" s="9"/>
      <c r="CK70" s="32"/>
      <c r="CL70" s="9">
        <v>55</v>
      </c>
      <c r="CM70" s="7">
        <v>0.78711528619169258</v>
      </c>
      <c r="CN70" s="9">
        <f t="shared" si="9"/>
        <v>7</v>
      </c>
      <c r="CO70" s="38">
        <f>AVERAGE(CN$6:CN70)</f>
        <v>4.6727272727272728</v>
      </c>
      <c r="CP70" s="32"/>
      <c r="CQ70" s="9"/>
      <c r="CR70" s="32"/>
      <c r="CS70" s="9">
        <v>55</v>
      </c>
      <c r="CT70" s="7">
        <v>0.70552124982350506</v>
      </c>
      <c r="CU70" s="9">
        <f t="shared" si="10"/>
        <v>6</v>
      </c>
      <c r="CV70" s="38">
        <f>AVERAGE(CU$6:CU70)</f>
        <v>4.836363636363636</v>
      </c>
      <c r="CW70" s="32"/>
      <c r="CX70" s="9"/>
      <c r="CY70" s="32"/>
      <c r="CZ70" s="9">
        <v>55</v>
      </c>
      <c r="DA70" s="7">
        <v>0.44265042725601234</v>
      </c>
      <c r="DB70" s="9">
        <f t="shared" si="11"/>
        <v>5</v>
      </c>
      <c r="DC70" s="38">
        <f>AVERAGE(DB$6:DB70)</f>
        <v>4.872727272727273</v>
      </c>
      <c r="DD70" s="32"/>
      <c r="DE70" s="9"/>
      <c r="DF70" s="32"/>
      <c r="DG70" s="9">
        <v>55</v>
      </c>
      <c r="DH70" s="7">
        <v>9.7703205130528659E-2</v>
      </c>
      <c r="DI70" s="9">
        <f t="shared" si="12"/>
        <v>2</v>
      </c>
      <c r="DJ70" s="38">
        <f>AVERAGE(DI$6:DI70)</f>
        <v>5.4727272727272727</v>
      </c>
      <c r="DK70" s="32"/>
      <c r="DL70" s="9"/>
      <c r="DM70" s="32"/>
      <c r="DN70" s="9">
        <v>55</v>
      </c>
      <c r="DO70" s="7">
        <v>0.80965659738285467</v>
      </c>
      <c r="DP70" s="9">
        <f t="shared" si="13"/>
        <v>7</v>
      </c>
      <c r="DQ70" s="38">
        <f>AVERAGE(DP$6:DP70)</f>
        <v>5.2363636363636363</v>
      </c>
      <c r="DR70" s="32"/>
      <c r="DS70" s="9"/>
      <c r="DT70" s="32"/>
      <c r="DU70" s="9">
        <v>55</v>
      </c>
      <c r="DV70" s="7">
        <v>0.43652808191836812</v>
      </c>
      <c r="DW70" s="9">
        <f t="shared" si="14"/>
        <v>4</v>
      </c>
      <c r="DX70" s="38">
        <f>AVERAGE(DW$6:DW70)</f>
        <v>4.9636363636363638</v>
      </c>
      <c r="DY70" s="32"/>
      <c r="DZ70" s="9"/>
      <c r="EA70" s="32"/>
      <c r="EB70" s="9">
        <v>55</v>
      </c>
      <c r="EC70" s="7">
        <v>0.75221795530524105</v>
      </c>
      <c r="ED70" s="9">
        <f t="shared" si="15"/>
        <v>6</v>
      </c>
      <c r="EE70" s="38">
        <f>AVERAGE(ED$6:ED70)</f>
        <v>4.9272727272727277</v>
      </c>
      <c r="EF70" s="32"/>
      <c r="EG70" s="9"/>
      <c r="EH70" s="32"/>
      <c r="EI70" s="9">
        <v>55</v>
      </c>
      <c r="EJ70" s="7">
        <v>0.46669449252658524</v>
      </c>
      <c r="EK70" s="9">
        <f t="shared" si="16"/>
        <v>5</v>
      </c>
      <c r="EL70" s="38">
        <f>AVERAGE(EK$6:EK70)</f>
        <v>4.7272727272727275</v>
      </c>
      <c r="EM70" s="32"/>
      <c r="EN70" s="9"/>
      <c r="EO70" s="32"/>
      <c r="EP70" s="9">
        <v>55</v>
      </c>
      <c r="EQ70" s="7">
        <v>0.97573884925805032</v>
      </c>
      <c r="ER70" s="9">
        <f t="shared" si="17"/>
        <v>10</v>
      </c>
      <c r="ES70" s="38">
        <f>AVERAGE(ER$6:ER70)</f>
        <v>4.7636363636363637</v>
      </c>
      <c r="ET70" s="32"/>
    </row>
    <row r="71" spans="5:150" x14ac:dyDescent="0.25">
      <c r="E71" s="7"/>
      <c r="L71" s="32"/>
      <c r="M71" s="9">
        <v>56</v>
      </c>
      <c r="N71" s="7">
        <v>0.60329260842991062</v>
      </c>
      <c r="O71" s="9">
        <f t="shared" si="21"/>
        <v>5</v>
      </c>
      <c r="P71" s="38">
        <f>AVERAGE(O$6:O71)</f>
        <v>4.875</v>
      </c>
      <c r="Q71" s="32"/>
      <c r="R71" s="9"/>
      <c r="S71" s="32"/>
      <c r="T71" s="9">
        <v>56</v>
      </c>
      <c r="U71" s="7">
        <v>0.93445702790631913</v>
      </c>
      <c r="V71" s="9">
        <f t="shared" si="0"/>
        <v>9</v>
      </c>
      <c r="W71" s="38">
        <f>AVERAGE(V$6:V71)</f>
        <v>4.4642857142857144</v>
      </c>
      <c r="X71" s="32"/>
      <c r="Y71" s="9"/>
      <c r="Z71" s="32"/>
      <c r="AA71" s="9">
        <v>56</v>
      </c>
      <c r="AB71" s="7">
        <v>0.87096750704222359</v>
      </c>
      <c r="AC71" s="9">
        <f t="shared" si="1"/>
        <v>8</v>
      </c>
      <c r="AD71" s="38">
        <f>AVERAGE(AC$6:AC71)</f>
        <v>4.7142857142857144</v>
      </c>
      <c r="AE71" s="32"/>
      <c r="AF71" s="9"/>
      <c r="AG71" s="32"/>
      <c r="AH71" s="9">
        <v>56</v>
      </c>
      <c r="AI71" s="7">
        <v>0.53171292852493934</v>
      </c>
      <c r="AJ71" s="9">
        <f t="shared" si="2"/>
        <v>5</v>
      </c>
      <c r="AK71" s="38">
        <f>AVERAGE(AJ$6:AJ71)</f>
        <v>5.0892857142857144</v>
      </c>
      <c r="AL71" s="32"/>
      <c r="AM71" s="9"/>
      <c r="AN71" s="32"/>
      <c r="AO71" s="9">
        <v>56</v>
      </c>
      <c r="AP71" s="7">
        <v>0.58816728836973198</v>
      </c>
      <c r="AQ71" s="9">
        <f t="shared" si="3"/>
        <v>5</v>
      </c>
      <c r="AR71" s="38">
        <f>AVERAGE(AQ$6:AQ71)</f>
        <v>5.0535714285714288</v>
      </c>
      <c r="AS71" s="32"/>
      <c r="AT71" s="9"/>
      <c r="AU71" s="32"/>
      <c r="AV71" s="9">
        <v>56</v>
      </c>
      <c r="AW71" s="7">
        <v>0.89506123072351329</v>
      </c>
      <c r="AX71" s="9">
        <f t="shared" si="4"/>
        <v>8</v>
      </c>
      <c r="AY71" s="38">
        <f>AVERAGE(AX$6:AX71)</f>
        <v>4.75</v>
      </c>
      <c r="AZ71" s="32"/>
      <c r="BA71" s="9"/>
      <c r="BB71" s="32"/>
      <c r="BC71" s="9">
        <v>56</v>
      </c>
      <c r="BD71" s="7">
        <v>0.35065373271936551</v>
      </c>
      <c r="BE71" s="9">
        <f t="shared" si="5"/>
        <v>4</v>
      </c>
      <c r="BF71" s="38">
        <f>AVERAGE(BE$6:BE71)</f>
        <v>5</v>
      </c>
      <c r="BG71" s="32"/>
      <c r="BH71" s="9"/>
      <c r="BI71" s="32"/>
      <c r="BJ71" s="9">
        <v>56</v>
      </c>
      <c r="BK71" s="7">
        <v>0.99583471185178496</v>
      </c>
      <c r="BL71" s="9">
        <f t="shared" si="6"/>
        <v>12</v>
      </c>
      <c r="BM71" s="38">
        <f>AVERAGE(BL$6:BL71)</f>
        <v>5.5357142857142856</v>
      </c>
      <c r="BN71" s="32"/>
      <c r="BO71" s="9"/>
      <c r="BP71" s="32"/>
      <c r="BQ71" s="9">
        <v>56</v>
      </c>
      <c r="BR71" s="7">
        <v>0.93603860450093634</v>
      </c>
      <c r="BS71" s="9">
        <f t="shared" si="7"/>
        <v>9</v>
      </c>
      <c r="BT71" s="38">
        <f>AVERAGE(BS$6:BS71)</f>
        <v>4.8392857142857144</v>
      </c>
      <c r="BU71" s="32"/>
      <c r="BV71" s="9"/>
      <c r="BW71" s="32"/>
      <c r="BX71" s="9">
        <v>56</v>
      </c>
      <c r="BY71" s="7">
        <v>0.69281093645258807</v>
      </c>
      <c r="BZ71" s="9">
        <f t="shared" si="8"/>
        <v>6</v>
      </c>
      <c r="CA71" s="38">
        <f>AVERAGE(BZ$6:BZ71)</f>
        <v>4.6785714285714288</v>
      </c>
      <c r="CB71" s="32"/>
      <c r="CC71" s="9"/>
      <c r="CD71" s="32"/>
      <c r="CE71" s="9">
        <v>56</v>
      </c>
      <c r="CF71" s="7">
        <v>1.658852890250273E-2</v>
      </c>
      <c r="CG71" s="9">
        <f t="shared" si="22"/>
        <v>1</v>
      </c>
      <c r="CH71" s="38">
        <f>AVERAGE(CG$6:CG71)</f>
        <v>4.6964285714285712</v>
      </c>
      <c r="CI71" s="32"/>
      <c r="CJ71" s="9"/>
      <c r="CK71" s="32"/>
      <c r="CL71" s="9">
        <v>56</v>
      </c>
      <c r="CM71" s="7">
        <v>0.36437238875078037</v>
      </c>
      <c r="CN71" s="9">
        <f t="shared" si="9"/>
        <v>4</v>
      </c>
      <c r="CO71" s="38">
        <f>AVERAGE(CN$6:CN71)</f>
        <v>4.6607142857142856</v>
      </c>
      <c r="CP71" s="32"/>
      <c r="CQ71" s="9"/>
      <c r="CR71" s="32"/>
      <c r="CS71" s="9">
        <v>56</v>
      </c>
      <c r="CT71" s="7">
        <v>0.34344365913420916</v>
      </c>
      <c r="CU71" s="9">
        <f t="shared" si="10"/>
        <v>4</v>
      </c>
      <c r="CV71" s="38">
        <f>AVERAGE(CU$6:CU71)</f>
        <v>4.8214285714285712</v>
      </c>
      <c r="CW71" s="32"/>
      <c r="CX71" s="9"/>
      <c r="CY71" s="32"/>
      <c r="CZ71" s="9">
        <v>56</v>
      </c>
      <c r="DA71" s="7">
        <v>0.96497003687545657</v>
      </c>
      <c r="DB71" s="9">
        <f t="shared" si="11"/>
        <v>9</v>
      </c>
      <c r="DC71" s="38">
        <f>AVERAGE(DB$6:DB71)</f>
        <v>4.9464285714285712</v>
      </c>
      <c r="DD71" s="32"/>
      <c r="DE71" s="9"/>
      <c r="DF71" s="32"/>
      <c r="DG71" s="9">
        <v>56</v>
      </c>
      <c r="DH71" s="7">
        <v>0.31715064225136302</v>
      </c>
      <c r="DI71" s="9">
        <f t="shared" si="12"/>
        <v>4</v>
      </c>
      <c r="DJ71" s="38">
        <f>AVERAGE(DI$6:DI71)</f>
        <v>5.4464285714285712</v>
      </c>
      <c r="DK71" s="32"/>
      <c r="DL71" s="9"/>
      <c r="DM71" s="32"/>
      <c r="DN71" s="9">
        <v>56</v>
      </c>
      <c r="DO71" s="7">
        <v>0.97314765219925903</v>
      </c>
      <c r="DP71" s="9">
        <f t="shared" si="13"/>
        <v>10</v>
      </c>
      <c r="DQ71" s="38">
        <f>AVERAGE(DP$6:DP71)</f>
        <v>5.3214285714285712</v>
      </c>
      <c r="DR71" s="32"/>
      <c r="DS71" s="9"/>
      <c r="DT71" s="32"/>
      <c r="DU71" s="9">
        <v>56</v>
      </c>
      <c r="DV71" s="7">
        <v>0.81196218798868358</v>
      </c>
      <c r="DW71" s="9">
        <f t="shared" si="14"/>
        <v>7</v>
      </c>
      <c r="DX71" s="38">
        <f>AVERAGE(DW$6:DW71)</f>
        <v>5</v>
      </c>
      <c r="DY71" s="32"/>
      <c r="DZ71" s="9"/>
      <c r="EA71" s="32"/>
      <c r="EB71" s="9">
        <v>56</v>
      </c>
      <c r="EC71" s="7">
        <v>0.39224698222824372</v>
      </c>
      <c r="ED71" s="9">
        <f t="shared" si="15"/>
        <v>4</v>
      </c>
      <c r="EE71" s="38">
        <f>AVERAGE(ED$6:ED71)</f>
        <v>4.9107142857142856</v>
      </c>
      <c r="EF71" s="32"/>
      <c r="EG71" s="9"/>
      <c r="EH71" s="32"/>
      <c r="EI71" s="9">
        <v>56</v>
      </c>
      <c r="EJ71" s="7">
        <v>0.34766365122050047</v>
      </c>
      <c r="EK71" s="9">
        <f t="shared" si="16"/>
        <v>4</v>
      </c>
      <c r="EL71" s="38">
        <f>AVERAGE(EK$6:EK71)</f>
        <v>4.7142857142857144</v>
      </c>
      <c r="EM71" s="32"/>
      <c r="EN71" s="9"/>
      <c r="EO71" s="32"/>
      <c r="EP71" s="9">
        <v>56</v>
      </c>
      <c r="EQ71" s="7">
        <v>0.50550736792501993</v>
      </c>
      <c r="ER71" s="9">
        <f t="shared" si="17"/>
        <v>5</v>
      </c>
      <c r="ES71" s="38">
        <f>AVERAGE(ER$6:ER71)</f>
        <v>4.7678571428571432</v>
      </c>
      <c r="ET71" s="32"/>
    </row>
    <row r="72" spans="5:150" x14ac:dyDescent="0.25">
      <c r="E72" s="7"/>
      <c r="L72" s="32">
        <v>8</v>
      </c>
      <c r="M72" s="9">
        <v>57</v>
      </c>
      <c r="N72" s="7">
        <v>0.6956933414330706</v>
      </c>
      <c r="O72" s="9">
        <f t="shared" si="21"/>
        <v>6</v>
      </c>
      <c r="P72" s="38">
        <f>AVERAGE(O$6:O72)</f>
        <v>4.8947368421052628</v>
      </c>
      <c r="Q72" s="32">
        <f t="shared" ref="Q72" si="144">SUM(O72:O79)</f>
        <v>33</v>
      </c>
      <c r="R72" s="9"/>
      <c r="S72" s="32">
        <v>8</v>
      </c>
      <c r="T72" s="9">
        <v>57</v>
      </c>
      <c r="U72" s="7">
        <v>0.24536937178345397</v>
      </c>
      <c r="V72" s="9">
        <f t="shared" si="0"/>
        <v>3</v>
      </c>
      <c r="W72" s="38">
        <f>AVERAGE(V$6:V72)</f>
        <v>4.4385964912280702</v>
      </c>
      <c r="X72" s="32">
        <f t="shared" ref="X72" si="145">SUM(V72:V79)</f>
        <v>35</v>
      </c>
      <c r="Y72" s="9"/>
      <c r="Z72" s="32">
        <v>8</v>
      </c>
      <c r="AA72" s="9">
        <v>57</v>
      </c>
      <c r="AB72" s="7">
        <v>0.54826612677425146</v>
      </c>
      <c r="AC72" s="9">
        <f t="shared" si="1"/>
        <v>5</v>
      </c>
      <c r="AD72" s="38">
        <f>AVERAGE(AC$6:AC72)</f>
        <v>4.7192982456140351</v>
      </c>
      <c r="AE72" s="32">
        <f t="shared" ref="AE72" si="146">SUM(AC72:AC79)</f>
        <v>49</v>
      </c>
      <c r="AF72" s="9"/>
      <c r="AG72" s="32">
        <v>8</v>
      </c>
      <c r="AH72" s="9">
        <v>57</v>
      </c>
      <c r="AI72" s="7">
        <v>0.83215819037286565</v>
      </c>
      <c r="AJ72" s="9">
        <f t="shared" si="2"/>
        <v>7</v>
      </c>
      <c r="AK72" s="38">
        <f>AVERAGE(AJ$6:AJ72)</f>
        <v>5.1228070175438596</v>
      </c>
      <c r="AL72" s="32">
        <f t="shared" ref="AL72" si="147">SUM(AJ72:AJ79)</f>
        <v>33</v>
      </c>
      <c r="AM72" s="9"/>
      <c r="AN72" s="32">
        <v>8</v>
      </c>
      <c r="AO72" s="9">
        <v>57</v>
      </c>
      <c r="AP72" s="7">
        <v>0.90615351044107229</v>
      </c>
      <c r="AQ72" s="9">
        <f t="shared" si="3"/>
        <v>8</v>
      </c>
      <c r="AR72" s="38">
        <f>AVERAGE(AQ$6:AQ72)</f>
        <v>5.1052631578947372</v>
      </c>
      <c r="AS72" s="32">
        <f t="shared" ref="AS72" si="148">SUM(AQ72:AQ79)</f>
        <v>55</v>
      </c>
      <c r="AT72" s="9"/>
      <c r="AU72" s="32">
        <v>8</v>
      </c>
      <c r="AV72" s="9">
        <v>57</v>
      </c>
      <c r="AW72" s="7">
        <v>0.95653382263844833</v>
      </c>
      <c r="AX72" s="9">
        <f t="shared" si="4"/>
        <v>9</v>
      </c>
      <c r="AY72" s="38">
        <f>AVERAGE(AX$6:AX72)</f>
        <v>4.8245614035087723</v>
      </c>
      <c r="AZ72" s="32">
        <f t="shared" ref="AZ72" si="149">SUM(AX72:AX79)</f>
        <v>44</v>
      </c>
      <c r="BA72" s="9"/>
      <c r="BB72" s="32">
        <v>8</v>
      </c>
      <c r="BC72" s="9">
        <v>57</v>
      </c>
      <c r="BD72" s="7">
        <v>0.58667235050234012</v>
      </c>
      <c r="BE72" s="9">
        <f t="shared" si="5"/>
        <v>5</v>
      </c>
      <c r="BF72" s="38">
        <f>AVERAGE(BE$6:BE72)</f>
        <v>5</v>
      </c>
      <c r="BG72" s="32">
        <f t="shared" ref="BG72" si="150">SUM(BE72:BE79)</f>
        <v>34</v>
      </c>
      <c r="BH72" s="9"/>
      <c r="BI72" s="32">
        <v>8</v>
      </c>
      <c r="BJ72" s="9">
        <v>57</v>
      </c>
      <c r="BK72" s="7">
        <v>0.85487660369835794</v>
      </c>
      <c r="BL72" s="9">
        <f t="shared" si="6"/>
        <v>7</v>
      </c>
      <c r="BM72" s="38">
        <f>AVERAGE(BL$6:BL72)</f>
        <v>5.5614035087719298</v>
      </c>
      <c r="BN72" s="32">
        <f t="shared" ref="BN72" si="151">SUM(BL72:BL79)</f>
        <v>41</v>
      </c>
      <c r="BO72" s="9"/>
      <c r="BP72" s="32">
        <v>8</v>
      </c>
      <c r="BQ72" s="9">
        <v>57</v>
      </c>
      <c r="BR72" s="7">
        <v>5.9881318011321127E-2</v>
      </c>
      <c r="BS72" s="9">
        <f t="shared" si="7"/>
        <v>2</v>
      </c>
      <c r="BT72" s="38">
        <f>AVERAGE(BS$6:BS72)</f>
        <v>4.7894736842105265</v>
      </c>
      <c r="BU72" s="32">
        <f t="shared" ref="BU72" si="152">SUM(BS72:BS79)</f>
        <v>41</v>
      </c>
      <c r="BV72" s="9"/>
      <c r="BW72" s="32">
        <v>8</v>
      </c>
      <c r="BX72" s="9">
        <v>57</v>
      </c>
      <c r="BY72" s="7">
        <v>0.79763227311195806</v>
      </c>
      <c r="BZ72" s="9">
        <f t="shared" si="8"/>
        <v>7</v>
      </c>
      <c r="CA72" s="38">
        <f>AVERAGE(BZ$6:BZ72)</f>
        <v>4.7192982456140351</v>
      </c>
      <c r="CB72" s="32">
        <f t="shared" ref="CB72" si="153">SUM(BZ72:BZ79)</f>
        <v>46</v>
      </c>
      <c r="CC72" s="9"/>
      <c r="CD72" s="32">
        <v>8</v>
      </c>
      <c r="CE72" s="9">
        <v>57</v>
      </c>
      <c r="CF72" s="7">
        <v>0.54309238481801003</v>
      </c>
      <c r="CG72" s="9">
        <f t="shared" si="22"/>
        <v>5</v>
      </c>
      <c r="CH72" s="38">
        <f>AVERAGE(CG$6:CG72)</f>
        <v>4.7017543859649127</v>
      </c>
      <c r="CI72" s="32">
        <f t="shared" ref="CI72" si="154">SUM(CG72:CG79)</f>
        <v>49</v>
      </c>
      <c r="CJ72" s="9"/>
      <c r="CK72" s="32">
        <v>8</v>
      </c>
      <c r="CL72" s="9">
        <v>57</v>
      </c>
      <c r="CM72" s="7">
        <v>0.65178020668099634</v>
      </c>
      <c r="CN72" s="9">
        <f t="shared" si="9"/>
        <v>6</v>
      </c>
      <c r="CO72" s="38">
        <f>AVERAGE(CN$6:CN72)</f>
        <v>4.6842105263157894</v>
      </c>
      <c r="CP72" s="32">
        <f t="shared" ref="CP72" si="155">SUM(CN72:CN79)</f>
        <v>36</v>
      </c>
      <c r="CQ72" s="9"/>
      <c r="CR72" s="32">
        <v>8</v>
      </c>
      <c r="CS72" s="9">
        <v>57</v>
      </c>
      <c r="CT72" s="7">
        <v>0.87348445414681919</v>
      </c>
      <c r="CU72" s="9">
        <f t="shared" si="10"/>
        <v>8</v>
      </c>
      <c r="CV72" s="38">
        <f>AVERAGE(CU$6:CU72)</f>
        <v>4.8771929824561404</v>
      </c>
      <c r="CW72" s="32">
        <f t="shared" ref="CW72" si="156">SUM(CU72:CU79)</f>
        <v>53</v>
      </c>
      <c r="CX72" s="9"/>
      <c r="CY72" s="32">
        <v>8</v>
      </c>
      <c r="CZ72" s="9">
        <v>57</v>
      </c>
      <c r="DA72" s="7">
        <v>0.95956899088923819</v>
      </c>
      <c r="DB72" s="9">
        <f t="shared" si="11"/>
        <v>9</v>
      </c>
      <c r="DC72" s="38">
        <f>AVERAGE(DB$6:DB72)</f>
        <v>5.0175438596491224</v>
      </c>
      <c r="DD72" s="32">
        <f t="shared" ref="DD72" si="157">SUM(DB72:DB79)</f>
        <v>40</v>
      </c>
      <c r="DE72" s="9"/>
      <c r="DF72" s="32">
        <v>8</v>
      </c>
      <c r="DG72" s="9">
        <v>57</v>
      </c>
      <c r="DH72" s="7">
        <v>0.33258075948106125</v>
      </c>
      <c r="DI72" s="9">
        <f t="shared" si="12"/>
        <v>4</v>
      </c>
      <c r="DJ72" s="38">
        <f>AVERAGE(DI$6:DI72)</f>
        <v>5.4210526315789478</v>
      </c>
      <c r="DK72" s="32">
        <f t="shared" ref="DK72" si="158">SUM(DI72:DI79)</f>
        <v>36</v>
      </c>
      <c r="DL72" s="9"/>
      <c r="DM72" s="32">
        <v>8</v>
      </c>
      <c r="DN72" s="9">
        <v>57</v>
      </c>
      <c r="DO72" s="7">
        <v>0.17104088264750317</v>
      </c>
      <c r="DP72" s="9">
        <f t="shared" si="13"/>
        <v>3</v>
      </c>
      <c r="DQ72" s="38">
        <f>AVERAGE(DP$6:DP72)</f>
        <v>5.2807017543859649</v>
      </c>
      <c r="DR72" s="32">
        <f t="shared" ref="DR72" si="159">SUM(DP72:DP79)</f>
        <v>35</v>
      </c>
      <c r="DS72" s="9"/>
      <c r="DT72" s="32">
        <v>8</v>
      </c>
      <c r="DU72" s="9">
        <v>57</v>
      </c>
      <c r="DV72" s="7">
        <v>0.16052681420114823</v>
      </c>
      <c r="DW72" s="9">
        <f t="shared" si="14"/>
        <v>3</v>
      </c>
      <c r="DX72" s="38">
        <f>AVERAGE(DW$6:DW72)</f>
        <v>4.9649122807017543</v>
      </c>
      <c r="DY72" s="32">
        <f t="shared" ref="DY72" si="160">SUM(DW72:DW79)</f>
        <v>38</v>
      </c>
      <c r="DZ72" s="9"/>
      <c r="EA72" s="32">
        <v>8</v>
      </c>
      <c r="EB72" s="9">
        <v>57</v>
      </c>
      <c r="EC72" s="7">
        <v>7.195847574621439E-3</v>
      </c>
      <c r="ED72" s="9">
        <f t="shared" si="15"/>
        <v>1</v>
      </c>
      <c r="EE72" s="38">
        <f>AVERAGE(ED$6:ED72)</f>
        <v>4.8421052631578947</v>
      </c>
      <c r="EF72" s="32">
        <f t="shared" ref="EF72" si="161">SUM(ED72:ED79)</f>
        <v>24</v>
      </c>
      <c r="EG72" s="9"/>
      <c r="EH72" s="32">
        <v>8</v>
      </c>
      <c r="EI72" s="9">
        <v>57</v>
      </c>
      <c r="EJ72" s="7">
        <v>4.6780378586845472E-2</v>
      </c>
      <c r="EK72" s="9">
        <f t="shared" si="16"/>
        <v>2</v>
      </c>
      <c r="EL72" s="38">
        <f>AVERAGE(EK$6:EK72)</f>
        <v>4.666666666666667</v>
      </c>
      <c r="EM72" s="32">
        <f t="shared" ref="EM72" si="162">SUM(EK72:EK79)</f>
        <v>27</v>
      </c>
      <c r="EN72" s="9"/>
      <c r="EO72" s="32">
        <v>8</v>
      </c>
      <c r="EP72" s="9">
        <v>57</v>
      </c>
      <c r="EQ72" s="7">
        <v>0.33629448141437024</v>
      </c>
      <c r="ER72" s="9">
        <f t="shared" si="17"/>
        <v>4</v>
      </c>
      <c r="ES72" s="38">
        <f>AVERAGE(ER$6:ER72)</f>
        <v>4.7543859649122808</v>
      </c>
      <c r="ET72" s="32">
        <f t="shared" ref="ET72" si="163">SUM(ER72:ER79)</f>
        <v>42</v>
      </c>
    </row>
    <row r="73" spans="5:150" x14ac:dyDescent="0.25">
      <c r="E73" s="7"/>
      <c r="L73" s="32"/>
      <c r="M73" s="9">
        <v>58</v>
      </c>
      <c r="N73" s="7">
        <v>0.28207083806046285</v>
      </c>
      <c r="O73" s="9">
        <f t="shared" si="21"/>
        <v>4</v>
      </c>
      <c r="P73" s="38">
        <f>AVERAGE(O$6:O73)</f>
        <v>4.8793103448275863</v>
      </c>
      <c r="Q73" s="32"/>
      <c r="R73" s="9"/>
      <c r="S73" s="32"/>
      <c r="T73" s="9">
        <v>58</v>
      </c>
      <c r="U73" s="7">
        <v>0.36522646850789897</v>
      </c>
      <c r="V73" s="9">
        <f t="shared" si="0"/>
        <v>4</v>
      </c>
      <c r="W73" s="38">
        <f>AVERAGE(V$6:V73)</f>
        <v>4.431034482758621</v>
      </c>
      <c r="X73" s="32"/>
      <c r="Y73" s="9"/>
      <c r="Z73" s="32"/>
      <c r="AA73" s="9">
        <v>58</v>
      </c>
      <c r="AB73" s="7">
        <v>0.35705528876860626</v>
      </c>
      <c r="AC73" s="9">
        <f t="shared" si="1"/>
        <v>4</v>
      </c>
      <c r="AD73" s="38">
        <f>AVERAGE(AC$6:AC73)</f>
        <v>4.7068965517241379</v>
      </c>
      <c r="AE73" s="32"/>
      <c r="AF73" s="9"/>
      <c r="AG73" s="32"/>
      <c r="AH73" s="9">
        <v>58</v>
      </c>
      <c r="AI73" s="7">
        <v>0.56146804205491208</v>
      </c>
      <c r="AJ73" s="9">
        <f t="shared" si="2"/>
        <v>5</v>
      </c>
      <c r="AK73" s="38">
        <f>AVERAGE(AJ$6:AJ73)</f>
        <v>5.1206896551724137</v>
      </c>
      <c r="AL73" s="32"/>
      <c r="AM73" s="9"/>
      <c r="AN73" s="32"/>
      <c r="AO73" s="9">
        <v>58</v>
      </c>
      <c r="AP73" s="7">
        <v>0.6690578771813307</v>
      </c>
      <c r="AQ73" s="9">
        <f t="shared" si="3"/>
        <v>6</v>
      </c>
      <c r="AR73" s="38">
        <f>AVERAGE(AQ$6:AQ73)</f>
        <v>5.1206896551724137</v>
      </c>
      <c r="AS73" s="32"/>
      <c r="AT73" s="9"/>
      <c r="AU73" s="32"/>
      <c r="AV73" s="9">
        <v>58</v>
      </c>
      <c r="AW73" s="7">
        <v>0.61491865882999264</v>
      </c>
      <c r="AX73" s="9">
        <f t="shared" si="4"/>
        <v>5</v>
      </c>
      <c r="AY73" s="38">
        <f>AVERAGE(AX$6:AX73)</f>
        <v>4.8275862068965516</v>
      </c>
      <c r="AZ73" s="32"/>
      <c r="BA73" s="9"/>
      <c r="BB73" s="32"/>
      <c r="BC73" s="9">
        <v>58</v>
      </c>
      <c r="BD73" s="7">
        <v>0.1362605087342672</v>
      </c>
      <c r="BE73" s="9">
        <f t="shared" si="5"/>
        <v>3</v>
      </c>
      <c r="BF73" s="38">
        <f>AVERAGE(BE$6:BE73)</f>
        <v>4.9655172413793105</v>
      </c>
      <c r="BG73" s="32"/>
      <c r="BH73" s="9"/>
      <c r="BI73" s="32"/>
      <c r="BJ73" s="9">
        <v>58</v>
      </c>
      <c r="BK73" s="7">
        <v>0.26145090468344279</v>
      </c>
      <c r="BL73" s="9">
        <f t="shared" si="6"/>
        <v>3</v>
      </c>
      <c r="BM73" s="38">
        <f>AVERAGE(BL$6:BL73)</f>
        <v>5.5172413793103452</v>
      </c>
      <c r="BN73" s="32"/>
      <c r="BO73" s="9"/>
      <c r="BP73" s="32"/>
      <c r="BQ73" s="9">
        <v>58</v>
      </c>
      <c r="BR73" s="7">
        <v>0.83887877585948445</v>
      </c>
      <c r="BS73" s="9">
        <f t="shared" si="7"/>
        <v>7</v>
      </c>
      <c r="BT73" s="38">
        <f>AVERAGE(BS$6:BS73)</f>
        <v>4.8275862068965516</v>
      </c>
      <c r="BU73" s="32"/>
      <c r="BV73" s="9"/>
      <c r="BW73" s="32"/>
      <c r="BX73" s="9">
        <v>58</v>
      </c>
      <c r="BY73" s="7">
        <v>0.78062065268750302</v>
      </c>
      <c r="BZ73" s="9">
        <f t="shared" si="8"/>
        <v>7</v>
      </c>
      <c r="CA73" s="38">
        <f>AVERAGE(BZ$6:BZ73)</f>
        <v>4.7586206896551726</v>
      </c>
      <c r="CB73" s="32"/>
      <c r="CC73" s="9"/>
      <c r="CD73" s="32"/>
      <c r="CE73" s="9">
        <v>58</v>
      </c>
      <c r="CF73" s="7">
        <v>0.6925781813042704</v>
      </c>
      <c r="CG73" s="9">
        <f t="shared" si="22"/>
        <v>6</v>
      </c>
      <c r="CH73" s="38">
        <f>AVERAGE(CG$6:CG73)</f>
        <v>4.7241379310344831</v>
      </c>
      <c r="CI73" s="32"/>
      <c r="CJ73" s="9"/>
      <c r="CK73" s="32"/>
      <c r="CL73" s="9">
        <v>58</v>
      </c>
      <c r="CM73" s="7">
        <v>0.66680644074222073</v>
      </c>
      <c r="CN73" s="9">
        <f t="shared" si="9"/>
        <v>6</v>
      </c>
      <c r="CO73" s="38">
        <f>AVERAGE(CN$6:CN73)</f>
        <v>4.7068965517241379</v>
      </c>
      <c r="CP73" s="32"/>
      <c r="CQ73" s="9"/>
      <c r="CR73" s="32"/>
      <c r="CS73" s="9">
        <v>58</v>
      </c>
      <c r="CT73" s="7">
        <v>0.84449388564098626</v>
      </c>
      <c r="CU73" s="9">
        <f t="shared" si="10"/>
        <v>7</v>
      </c>
      <c r="CV73" s="38">
        <f>AVERAGE(CU$6:CU73)</f>
        <v>4.9137931034482758</v>
      </c>
      <c r="CW73" s="32"/>
      <c r="CX73" s="9"/>
      <c r="CY73" s="32"/>
      <c r="CZ73" s="9">
        <v>58</v>
      </c>
      <c r="DA73" s="7">
        <v>0.17803030798677355</v>
      </c>
      <c r="DB73" s="9">
        <f t="shared" si="11"/>
        <v>3</v>
      </c>
      <c r="DC73" s="38">
        <f>AVERAGE(DB$6:DB73)</f>
        <v>4.9827586206896548</v>
      </c>
      <c r="DD73" s="32"/>
      <c r="DE73" s="9"/>
      <c r="DF73" s="32"/>
      <c r="DG73" s="9">
        <v>58</v>
      </c>
      <c r="DH73" s="7">
        <v>0.27909113277564757</v>
      </c>
      <c r="DI73" s="9">
        <f t="shared" si="12"/>
        <v>4</v>
      </c>
      <c r="DJ73" s="38">
        <f>AVERAGE(DI$6:DI73)</f>
        <v>5.3965517241379306</v>
      </c>
      <c r="DK73" s="32"/>
      <c r="DL73" s="9"/>
      <c r="DM73" s="32"/>
      <c r="DN73" s="9">
        <v>58</v>
      </c>
      <c r="DO73" s="7">
        <v>8.6054563493235037E-2</v>
      </c>
      <c r="DP73" s="9">
        <f t="shared" si="13"/>
        <v>2</v>
      </c>
      <c r="DQ73" s="38">
        <f>AVERAGE(DP$6:DP73)</f>
        <v>5.2241379310344831</v>
      </c>
      <c r="DR73" s="32"/>
      <c r="DS73" s="9"/>
      <c r="DT73" s="32"/>
      <c r="DU73" s="9">
        <v>58</v>
      </c>
      <c r="DV73" s="7">
        <v>0.67130931362044066</v>
      </c>
      <c r="DW73" s="9">
        <f t="shared" si="14"/>
        <v>6</v>
      </c>
      <c r="DX73" s="38">
        <f>AVERAGE(DW$6:DW73)</f>
        <v>4.9827586206896548</v>
      </c>
      <c r="DY73" s="32"/>
      <c r="DZ73" s="9"/>
      <c r="EA73" s="32"/>
      <c r="EB73" s="9">
        <v>58</v>
      </c>
      <c r="EC73" s="7">
        <v>0.70586150095914491</v>
      </c>
      <c r="ED73" s="9">
        <f t="shared" si="15"/>
        <v>6</v>
      </c>
      <c r="EE73" s="38">
        <f>AVERAGE(ED$6:ED73)</f>
        <v>4.8620689655172411</v>
      </c>
      <c r="EF73" s="32"/>
      <c r="EG73" s="9"/>
      <c r="EH73" s="32"/>
      <c r="EI73" s="9">
        <v>58</v>
      </c>
      <c r="EJ73" s="7">
        <v>9.1894972254522145E-2</v>
      </c>
      <c r="EK73" s="9">
        <f t="shared" si="16"/>
        <v>2</v>
      </c>
      <c r="EL73" s="38">
        <f>AVERAGE(EK$6:EK73)</f>
        <v>4.6206896551724137</v>
      </c>
      <c r="EM73" s="32"/>
      <c r="EN73" s="9"/>
      <c r="EO73" s="32"/>
      <c r="EP73" s="9">
        <v>58</v>
      </c>
      <c r="EQ73" s="7">
        <v>0.1916579284297768</v>
      </c>
      <c r="ER73" s="9">
        <f t="shared" si="17"/>
        <v>3</v>
      </c>
      <c r="ES73" s="38">
        <f>AVERAGE(ER$6:ER73)</f>
        <v>4.7241379310344831</v>
      </c>
      <c r="ET73" s="32"/>
    </row>
    <row r="74" spans="5:150" x14ac:dyDescent="0.25">
      <c r="E74" s="7"/>
      <c r="L74" s="32"/>
      <c r="M74" s="9">
        <v>59</v>
      </c>
      <c r="N74" s="7">
        <v>0.26648160116747022</v>
      </c>
      <c r="O74" s="9">
        <f t="shared" si="21"/>
        <v>4</v>
      </c>
      <c r="P74" s="38">
        <f>AVERAGE(O$6:O74)</f>
        <v>4.8644067796610173</v>
      </c>
      <c r="Q74" s="32"/>
      <c r="R74" s="9"/>
      <c r="S74" s="32"/>
      <c r="T74" s="9">
        <v>59</v>
      </c>
      <c r="U74" s="7">
        <v>9.1631281597074121E-2</v>
      </c>
      <c r="V74" s="9">
        <f t="shared" si="0"/>
        <v>2</v>
      </c>
      <c r="W74" s="38">
        <f>AVERAGE(V$6:V74)</f>
        <v>4.3898305084745761</v>
      </c>
      <c r="X74" s="32"/>
      <c r="Y74" s="9"/>
      <c r="Z74" s="32"/>
      <c r="AA74" s="9">
        <v>59</v>
      </c>
      <c r="AB74" s="7">
        <v>0.88347371586132795</v>
      </c>
      <c r="AC74" s="9">
        <f t="shared" si="1"/>
        <v>8</v>
      </c>
      <c r="AD74" s="38">
        <f>AVERAGE(AC$6:AC74)</f>
        <v>4.7627118644067794</v>
      </c>
      <c r="AE74" s="32"/>
      <c r="AF74" s="9"/>
      <c r="AG74" s="32"/>
      <c r="AH74" s="9">
        <v>59</v>
      </c>
      <c r="AI74" s="7">
        <v>0.15604165830882266</v>
      </c>
      <c r="AJ74" s="9">
        <f t="shared" si="2"/>
        <v>3</v>
      </c>
      <c r="AK74" s="38">
        <f>AVERAGE(AJ$6:AJ74)</f>
        <v>5.0847457627118642</v>
      </c>
      <c r="AL74" s="32"/>
      <c r="AM74" s="9"/>
      <c r="AN74" s="32"/>
      <c r="AO74" s="9">
        <v>59</v>
      </c>
      <c r="AP74" s="7">
        <v>0.56480674841441214</v>
      </c>
      <c r="AQ74" s="9">
        <f t="shared" si="3"/>
        <v>5</v>
      </c>
      <c r="AR74" s="38">
        <f>AVERAGE(AQ$6:AQ74)</f>
        <v>5.1186440677966099</v>
      </c>
      <c r="AS74" s="32"/>
      <c r="AT74" s="9"/>
      <c r="AU74" s="32"/>
      <c r="AV74" s="9">
        <v>59</v>
      </c>
      <c r="AW74" s="7">
        <v>0.68310929747531191</v>
      </c>
      <c r="AX74" s="9">
        <f t="shared" si="4"/>
        <v>6</v>
      </c>
      <c r="AY74" s="38">
        <f>AVERAGE(AX$6:AX74)</f>
        <v>4.8474576271186445</v>
      </c>
      <c r="AZ74" s="32"/>
      <c r="BA74" s="9"/>
      <c r="BB74" s="32"/>
      <c r="BC74" s="9">
        <v>59</v>
      </c>
      <c r="BD74" s="7">
        <v>0.17416199817671441</v>
      </c>
      <c r="BE74" s="9">
        <f t="shared" si="5"/>
        <v>3</v>
      </c>
      <c r="BF74" s="38">
        <f>AVERAGE(BE$6:BE74)</f>
        <v>4.9322033898305087</v>
      </c>
      <c r="BG74" s="32"/>
      <c r="BH74" s="9"/>
      <c r="BI74" s="32"/>
      <c r="BJ74" s="9">
        <v>59</v>
      </c>
      <c r="BK74" s="7">
        <v>0.64721591200213879</v>
      </c>
      <c r="BL74" s="9">
        <f t="shared" si="6"/>
        <v>6</v>
      </c>
      <c r="BM74" s="38">
        <f>AVERAGE(BL$6:BL74)</f>
        <v>5.5254237288135597</v>
      </c>
      <c r="BN74" s="32"/>
      <c r="BO74" s="9"/>
      <c r="BP74" s="32"/>
      <c r="BQ74" s="9">
        <v>59</v>
      </c>
      <c r="BR74" s="7">
        <v>2.256956766359508E-2</v>
      </c>
      <c r="BS74" s="9">
        <f t="shared" si="7"/>
        <v>1</v>
      </c>
      <c r="BT74" s="38">
        <f>AVERAGE(BS$6:BS74)</f>
        <v>4.7627118644067794</v>
      </c>
      <c r="BU74" s="32"/>
      <c r="BV74" s="9"/>
      <c r="BW74" s="32"/>
      <c r="BX74" s="9">
        <v>59</v>
      </c>
      <c r="BY74" s="7">
        <v>1.9636134093161672E-2</v>
      </c>
      <c r="BZ74" s="9">
        <f t="shared" si="8"/>
        <v>1</v>
      </c>
      <c r="CA74" s="38">
        <f>AVERAGE(BZ$6:BZ74)</f>
        <v>4.6949152542372881</v>
      </c>
      <c r="CB74" s="32"/>
      <c r="CC74" s="9"/>
      <c r="CD74" s="32"/>
      <c r="CE74" s="9">
        <v>59</v>
      </c>
      <c r="CF74" s="7">
        <v>0.67776337172836065</v>
      </c>
      <c r="CG74" s="9">
        <f t="shared" si="22"/>
        <v>6</v>
      </c>
      <c r="CH74" s="38">
        <f>AVERAGE(CG$6:CG74)</f>
        <v>4.7457627118644066</v>
      </c>
      <c r="CI74" s="32"/>
      <c r="CJ74" s="9"/>
      <c r="CK74" s="32"/>
      <c r="CL74" s="9">
        <v>59</v>
      </c>
      <c r="CM74" s="7">
        <v>0.40531698227277957</v>
      </c>
      <c r="CN74" s="9">
        <f t="shared" si="9"/>
        <v>4</v>
      </c>
      <c r="CO74" s="38">
        <f>AVERAGE(CN$6:CN74)</f>
        <v>4.6949152542372881</v>
      </c>
      <c r="CP74" s="32"/>
      <c r="CQ74" s="9"/>
      <c r="CR74" s="32"/>
      <c r="CS74" s="9">
        <v>59</v>
      </c>
      <c r="CT74" s="7">
        <v>0.91435110513702966</v>
      </c>
      <c r="CU74" s="9">
        <f t="shared" si="10"/>
        <v>8</v>
      </c>
      <c r="CV74" s="38">
        <f>AVERAGE(CU$6:CU74)</f>
        <v>4.9661016949152543</v>
      </c>
      <c r="CW74" s="32"/>
      <c r="CX74" s="9"/>
      <c r="CY74" s="32"/>
      <c r="CZ74" s="9">
        <v>59</v>
      </c>
      <c r="DA74" s="7">
        <v>0.68560861321748234</v>
      </c>
      <c r="DB74" s="9">
        <f t="shared" si="11"/>
        <v>6</v>
      </c>
      <c r="DC74" s="38">
        <f>AVERAGE(DB$6:DB74)</f>
        <v>5</v>
      </c>
      <c r="DD74" s="32"/>
      <c r="DE74" s="9"/>
      <c r="DF74" s="32"/>
      <c r="DG74" s="9">
        <v>59</v>
      </c>
      <c r="DH74" s="7">
        <v>0.73193337948760018</v>
      </c>
      <c r="DI74" s="9">
        <f t="shared" si="12"/>
        <v>6</v>
      </c>
      <c r="DJ74" s="38">
        <f>AVERAGE(DI$6:DI74)</f>
        <v>5.406779661016949</v>
      </c>
      <c r="DK74" s="32"/>
      <c r="DL74" s="9"/>
      <c r="DM74" s="32"/>
      <c r="DN74" s="9">
        <v>59</v>
      </c>
      <c r="DO74" s="7">
        <v>0.31810019904514775</v>
      </c>
      <c r="DP74" s="9">
        <f t="shared" si="13"/>
        <v>4</v>
      </c>
      <c r="DQ74" s="38">
        <f>AVERAGE(DP$6:DP74)</f>
        <v>5.2033898305084749</v>
      </c>
      <c r="DR74" s="32"/>
      <c r="DS74" s="9"/>
      <c r="DT74" s="32"/>
      <c r="DU74" s="9">
        <v>59</v>
      </c>
      <c r="DV74" s="7">
        <v>0.72429651455604471</v>
      </c>
      <c r="DW74" s="9">
        <f t="shared" si="14"/>
        <v>6</v>
      </c>
      <c r="DX74" s="38">
        <f>AVERAGE(DW$6:DW74)</f>
        <v>5</v>
      </c>
      <c r="DY74" s="32"/>
      <c r="DZ74" s="9"/>
      <c r="EA74" s="32"/>
      <c r="EB74" s="9">
        <v>59</v>
      </c>
      <c r="EC74" s="7">
        <v>0.51867299398873001</v>
      </c>
      <c r="ED74" s="9">
        <f t="shared" si="15"/>
        <v>5</v>
      </c>
      <c r="EE74" s="38">
        <f>AVERAGE(ED$6:ED74)</f>
        <v>4.8644067796610173</v>
      </c>
      <c r="EF74" s="32"/>
      <c r="EG74" s="9"/>
      <c r="EH74" s="32"/>
      <c r="EI74" s="9">
        <v>59</v>
      </c>
      <c r="EJ74" s="7">
        <v>0.3259107111080084</v>
      </c>
      <c r="EK74" s="9">
        <f t="shared" si="16"/>
        <v>4</v>
      </c>
      <c r="EL74" s="38">
        <f>AVERAGE(EK$6:EK74)</f>
        <v>4.6101694915254239</v>
      </c>
      <c r="EM74" s="32"/>
      <c r="EN74" s="9"/>
      <c r="EO74" s="32"/>
      <c r="EP74" s="9">
        <v>59</v>
      </c>
      <c r="EQ74" s="7">
        <v>0.7038331413641572</v>
      </c>
      <c r="ER74" s="9">
        <f t="shared" si="17"/>
        <v>6</v>
      </c>
      <c r="ES74" s="38">
        <f>AVERAGE(ER$6:ER74)</f>
        <v>4.7457627118644066</v>
      </c>
      <c r="ET74" s="32"/>
    </row>
    <row r="75" spans="5:150" x14ac:dyDescent="0.25">
      <c r="E75" s="7"/>
      <c r="L75" s="32"/>
      <c r="M75" s="9">
        <v>60</v>
      </c>
      <c r="N75" s="7">
        <v>0.23802460127626546</v>
      </c>
      <c r="O75" s="9">
        <f t="shared" si="21"/>
        <v>3</v>
      </c>
      <c r="P75" s="38">
        <f>AVERAGE(O$6:O75)</f>
        <v>4.833333333333333</v>
      </c>
      <c r="Q75" s="32"/>
      <c r="R75" s="9"/>
      <c r="S75" s="32"/>
      <c r="T75" s="9">
        <v>60</v>
      </c>
      <c r="U75" s="7">
        <v>0.19011002252227627</v>
      </c>
      <c r="V75" s="9">
        <f t="shared" si="0"/>
        <v>3</v>
      </c>
      <c r="W75" s="38">
        <f>AVERAGE(V$6:V75)</f>
        <v>4.3666666666666663</v>
      </c>
      <c r="X75" s="32"/>
      <c r="Y75" s="9"/>
      <c r="Z75" s="32"/>
      <c r="AA75" s="9">
        <v>60</v>
      </c>
      <c r="AB75" s="7">
        <v>0.98896366861299612</v>
      </c>
      <c r="AC75" s="9">
        <f t="shared" si="1"/>
        <v>11</v>
      </c>
      <c r="AD75" s="38">
        <f>AVERAGE(AC$6:AC75)</f>
        <v>4.8666666666666663</v>
      </c>
      <c r="AE75" s="32"/>
      <c r="AF75" s="9"/>
      <c r="AG75" s="32"/>
      <c r="AH75" s="9">
        <v>60</v>
      </c>
      <c r="AI75" s="7">
        <v>0.36145402907277457</v>
      </c>
      <c r="AJ75" s="9">
        <f t="shared" si="2"/>
        <v>4</v>
      </c>
      <c r="AK75" s="38">
        <f>AVERAGE(AJ$6:AJ75)</f>
        <v>5.0666666666666664</v>
      </c>
      <c r="AL75" s="32"/>
      <c r="AM75" s="9"/>
      <c r="AN75" s="32"/>
      <c r="AO75" s="9">
        <v>60</v>
      </c>
      <c r="AP75" s="7">
        <v>0.87547543345135637</v>
      </c>
      <c r="AQ75" s="9">
        <f t="shared" si="3"/>
        <v>8</v>
      </c>
      <c r="AR75" s="38">
        <f>AVERAGE(AQ$6:AQ75)</f>
        <v>5.166666666666667</v>
      </c>
      <c r="AS75" s="32"/>
      <c r="AT75" s="9"/>
      <c r="AU75" s="32"/>
      <c r="AV75" s="9">
        <v>60</v>
      </c>
      <c r="AW75" s="7">
        <v>0.80128819981473498</v>
      </c>
      <c r="AX75" s="9">
        <f t="shared" si="4"/>
        <v>7</v>
      </c>
      <c r="AY75" s="38">
        <f>AVERAGE(AX$6:AX75)</f>
        <v>4.8833333333333337</v>
      </c>
      <c r="AZ75" s="32"/>
      <c r="BA75" s="9"/>
      <c r="BB75" s="32"/>
      <c r="BC75" s="9">
        <v>60</v>
      </c>
      <c r="BD75" s="7">
        <v>0.69342906103702262</v>
      </c>
      <c r="BE75" s="9">
        <f t="shared" si="5"/>
        <v>6</v>
      </c>
      <c r="BF75" s="38">
        <f>AVERAGE(BE$6:BE75)</f>
        <v>4.95</v>
      </c>
      <c r="BG75" s="32"/>
      <c r="BH75" s="9"/>
      <c r="BI75" s="32"/>
      <c r="BJ75" s="9">
        <v>60</v>
      </c>
      <c r="BK75" s="7">
        <v>0.31619468113058247</v>
      </c>
      <c r="BL75" s="9">
        <f t="shared" si="6"/>
        <v>4</v>
      </c>
      <c r="BM75" s="38">
        <f>AVERAGE(BL$6:BL75)</f>
        <v>5.5</v>
      </c>
      <c r="BN75" s="32"/>
      <c r="BO75" s="9"/>
      <c r="BP75" s="32"/>
      <c r="BQ75" s="9">
        <v>60</v>
      </c>
      <c r="BR75" s="7">
        <v>0.62332734678057022</v>
      </c>
      <c r="BS75" s="9">
        <f t="shared" si="7"/>
        <v>6</v>
      </c>
      <c r="BT75" s="38">
        <f>AVERAGE(BS$6:BS75)</f>
        <v>4.7833333333333332</v>
      </c>
      <c r="BU75" s="32"/>
      <c r="BV75" s="9"/>
      <c r="BW75" s="32"/>
      <c r="BX75" s="9">
        <v>60</v>
      </c>
      <c r="BY75" s="7">
        <v>0.11260905800736509</v>
      </c>
      <c r="BZ75" s="9">
        <f t="shared" si="8"/>
        <v>2</v>
      </c>
      <c r="CA75" s="38">
        <f>AVERAGE(BZ$6:BZ75)</f>
        <v>4.6500000000000004</v>
      </c>
      <c r="CB75" s="32"/>
      <c r="CC75" s="9"/>
      <c r="CD75" s="32"/>
      <c r="CE75" s="9">
        <v>60</v>
      </c>
      <c r="CF75" s="7">
        <v>4.8136440134840086E-2</v>
      </c>
      <c r="CG75" s="9">
        <f t="shared" si="22"/>
        <v>2</v>
      </c>
      <c r="CH75" s="38">
        <f>AVERAGE(CG$6:CG75)</f>
        <v>4.7</v>
      </c>
      <c r="CI75" s="32"/>
      <c r="CJ75" s="9"/>
      <c r="CK75" s="32"/>
      <c r="CL75" s="9">
        <v>60</v>
      </c>
      <c r="CM75" s="7">
        <v>0.73824587051058188</v>
      </c>
      <c r="CN75" s="9">
        <f t="shared" si="9"/>
        <v>6</v>
      </c>
      <c r="CO75" s="38">
        <f>AVERAGE(CN$6:CN75)</f>
        <v>4.7166666666666668</v>
      </c>
      <c r="CP75" s="32"/>
      <c r="CQ75" s="9"/>
      <c r="CR75" s="32"/>
      <c r="CS75" s="9">
        <v>60</v>
      </c>
      <c r="CT75" s="7">
        <v>0.89081914559938014</v>
      </c>
      <c r="CU75" s="9">
        <f t="shared" si="10"/>
        <v>8</v>
      </c>
      <c r="CV75" s="38">
        <f>AVERAGE(CU$6:CU75)</f>
        <v>5.0166666666666666</v>
      </c>
      <c r="CW75" s="32"/>
      <c r="CX75" s="9"/>
      <c r="CY75" s="32"/>
      <c r="CZ75" s="9">
        <v>60</v>
      </c>
      <c r="DA75" s="7">
        <v>8.8435807032510638E-2</v>
      </c>
      <c r="DB75" s="9">
        <f t="shared" si="11"/>
        <v>2</v>
      </c>
      <c r="DC75" s="38">
        <f>AVERAGE(DB$6:DB75)</f>
        <v>4.95</v>
      </c>
      <c r="DD75" s="32"/>
      <c r="DE75" s="9"/>
      <c r="DF75" s="32"/>
      <c r="DG75" s="9">
        <v>60</v>
      </c>
      <c r="DH75" s="7">
        <v>0.94569043614319526</v>
      </c>
      <c r="DI75" s="9">
        <f t="shared" si="12"/>
        <v>9</v>
      </c>
      <c r="DJ75" s="38">
        <f>AVERAGE(DI$6:DI75)</f>
        <v>5.4666666666666668</v>
      </c>
      <c r="DK75" s="32"/>
      <c r="DL75" s="9"/>
      <c r="DM75" s="32"/>
      <c r="DN75" s="9">
        <v>60</v>
      </c>
      <c r="DO75" s="7">
        <v>0.82160250828019343</v>
      </c>
      <c r="DP75" s="9">
        <f t="shared" si="13"/>
        <v>7</v>
      </c>
      <c r="DQ75" s="38">
        <f>AVERAGE(DP$6:DP75)</f>
        <v>5.2333333333333334</v>
      </c>
      <c r="DR75" s="32"/>
      <c r="DS75" s="9"/>
      <c r="DT75" s="32"/>
      <c r="DU75" s="9">
        <v>60</v>
      </c>
      <c r="DV75" s="7">
        <v>1.2704996392130852E-2</v>
      </c>
      <c r="DW75" s="9">
        <f t="shared" si="14"/>
        <v>1</v>
      </c>
      <c r="DX75" s="38">
        <f>AVERAGE(DW$6:DW75)</f>
        <v>4.9333333333333336</v>
      </c>
      <c r="DY75" s="32"/>
      <c r="DZ75" s="9"/>
      <c r="EA75" s="32"/>
      <c r="EB75" s="9">
        <v>60</v>
      </c>
      <c r="EC75" s="7">
        <v>0.11659190422506072</v>
      </c>
      <c r="ED75" s="9">
        <f t="shared" si="15"/>
        <v>2</v>
      </c>
      <c r="EE75" s="38">
        <f>AVERAGE(ED$6:ED75)</f>
        <v>4.8166666666666664</v>
      </c>
      <c r="EF75" s="32"/>
      <c r="EG75" s="9"/>
      <c r="EH75" s="32"/>
      <c r="EI75" s="9">
        <v>60</v>
      </c>
      <c r="EJ75" s="7">
        <v>0.84401622065342963</v>
      </c>
      <c r="EK75" s="9">
        <f t="shared" si="16"/>
        <v>7</v>
      </c>
      <c r="EL75" s="38">
        <f>AVERAGE(EK$6:EK75)</f>
        <v>4.6500000000000004</v>
      </c>
      <c r="EM75" s="32"/>
      <c r="EN75" s="9"/>
      <c r="EO75" s="32"/>
      <c r="EP75" s="9">
        <v>60</v>
      </c>
      <c r="EQ75" s="7">
        <v>0.47406780257006176</v>
      </c>
      <c r="ER75" s="9">
        <f t="shared" si="17"/>
        <v>5</v>
      </c>
      <c r="ES75" s="38">
        <f>AVERAGE(ER$6:ER75)</f>
        <v>4.75</v>
      </c>
      <c r="ET75" s="32"/>
    </row>
    <row r="76" spans="5:150" x14ac:dyDescent="0.25">
      <c r="E76" s="7"/>
      <c r="L76" s="32"/>
      <c r="M76" s="9">
        <v>61</v>
      </c>
      <c r="N76" s="7">
        <v>0.58266965730581433</v>
      </c>
      <c r="O76" s="9">
        <f t="shared" si="21"/>
        <v>5</v>
      </c>
      <c r="P76" s="38">
        <f>AVERAGE(O$6:O76)</f>
        <v>4.8360655737704921</v>
      </c>
      <c r="Q76" s="32"/>
      <c r="R76" s="9"/>
      <c r="S76" s="32"/>
      <c r="T76" s="9">
        <v>61</v>
      </c>
      <c r="U76" s="7">
        <v>0.90666159900138155</v>
      </c>
      <c r="V76" s="9">
        <f t="shared" si="0"/>
        <v>8</v>
      </c>
      <c r="W76" s="38">
        <f>AVERAGE(V$6:V76)</f>
        <v>4.4262295081967213</v>
      </c>
      <c r="X76" s="32"/>
      <c r="Y76" s="9"/>
      <c r="Z76" s="32"/>
      <c r="AA76" s="9">
        <v>61</v>
      </c>
      <c r="AB76" s="7">
        <v>0.31628933572210371</v>
      </c>
      <c r="AC76" s="9">
        <f t="shared" si="1"/>
        <v>4</v>
      </c>
      <c r="AD76" s="38">
        <f>AVERAGE(AC$6:AC76)</f>
        <v>4.8524590163934427</v>
      </c>
      <c r="AE76" s="32"/>
      <c r="AF76" s="9"/>
      <c r="AG76" s="32"/>
      <c r="AH76" s="9">
        <v>61</v>
      </c>
      <c r="AI76" s="7">
        <v>0.14882497250800952</v>
      </c>
      <c r="AJ76" s="9">
        <f t="shared" si="2"/>
        <v>3</v>
      </c>
      <c r="AK76" s="38">
        <f>AVERAGE(AJ$6:AJ76)</f>
        <v>5.0327868852459012</v>
      </c>
      <c r="AL76" s="32"/>
      <c r="AM76" s="9"/>
      <c r="AN76" s="32"/>
      <c r="AO76" s="9">
        <v>61</v>
      </c>
      <c r="AP76" s="7">
        <v>0.86984822747763246</v>
      </c>
      <c r="AQ76" s="9">
        <f t="shared" si="3"/>
        <v>8</v>
      </c>
      <c r="AR76" s="38">
        <f>AVERAGE(AQ$6:AQ76)</f>
        <v>5.2131147540983607</v>
      </c>
      <c r="AS76" s="32"/>
      <c r="AT76" s="9"/>
      <c r="AU76" s="32"/>
      <c r="AV76" s="9">
        <v>61</v>
      </c>
      <c r="AW76" s="7">
        <v>0.66342290461761877</v>
      </c>
      <c r="AX76" s="9">
        <f t="shared" si="4"/>
        <v>6</v>
      </c>
      <c r="AY76" s="38">
        <f>AVERAGE(AX$6:AX76)</f>
        <v>4.9016393442622954</v>
      </c>
      <c r="AZ76" s="32"/>
      <c r="BA76" s="9"/>
      <c r="BB76" s="32"/>
      <c r="BC76" s="9">
        <v>61</v>
      </c>
      <c r="BD76" s="7">
        <v>0.11596643409575336</v>
      </c>
      <c r="BE76" s="9">
        <f t="shared" si="5"/>
        <v>2</v>
      </c>
      <c r="BF76" s="38">
        <f>AVERAGE(BE$6:BE76)</f>
        <v>4.9016393442622954</v>
      </c>
      <c r="BG76" s="32"/>
      <c r="BH76" s="9"/>
      <c r="BI76" s="32"/>
      <c r="BJ76" s="9">
        <v>61</v>
      </c>
      <c r="BK76" s="7">
        <v>0.84026078227907419</v>
      </c>
      <c r="BL76" s="9">
        <f t="shared" si="6"/>
        <v>7</v>
      </c>
      <c r="BM76" s="38">
        <f>AVERAGE(BL$6:BL76)</f>
        <v>5.5245901639344259</v>
      </c>
      <c r="BN76" s="32"/>
      <c r="BO76" s="9"/>
      <c r="BP76" s="32"/>
      <c r="BQ76" s="9">
        <v>61</v>
      </c>
      <c r="BR76" s="7">
        <v>1.3583592022769153E-2</v>
      </c>
      <c r="BS76" s="9">
        <f t="shared" si="7"/>
        <v>1</v>
      </c>
      <c r="BT76" s="38">
        <f>AVERAGE(BS$6:BS76)</f>
        <v>4.721311475409836</v>
      </c>
      <c r="BU76" s="32"/>
      <c r="BV76" s="9"/>
      <c r="BW76" s="32"/>
      <c r="BX76" s="9">
        <v>61</v>
      </c>
      <c r="BY76" s="7">
        <v>0.99366487382212654</v>
      </c>
      <c r="BZ76" s="9">
        <f t="shared" si="8"/>
        <v>11</v>
      </c>
      <c r="CA76" s="38">
        <f>AVERAGE(BZ$6:BZ76)</f>
        <v>4.7540983606557381</v>
      </c>
      <c r="CB76" s="32"/>
      <c r="CC76" s="9"/>
      <c r="CD76" s="32"/>
      <c r="CE76" s="9">
        <v>61</v>
      </c>
      <c r="CF76" s="7">
        <v>0.79026666947174817</v>
      </c>
      <c r="CG76" s="9">
        <f t="shared" si="22"/>
        <v>7</v>
      </c>
      <c r="CH76" s="38">
        <f>AVERAGE(CG$6:CG76)</f>
        <v>4.7377049180327866</v>
      </c>
      <c r="CI76" s="32"/>
      <c r="CJ76" s="9"/>
      <c r="CK76" s="32"/>
      <c r="CL76" s="9">
        <v>61</v>
      </c>
      <c r="CM76" s="7">
        <v>0.19662331297877245</v>
      </c>
      <c r="CN76" s="9">
        <f t="shared" si="9"/>
        <v>3</v>
      </c>
      <c r="CO76" s="38">
        <f>AVERAGE(CN$6:CN76)</f>
        <v>4.6885245901639347</v>
      </c>
      <c r="CP76" s="32"/>
      <c r="CQ76" s="9"/>
      <c r="CR76" s="32"/>
      <c r="CS76" s="9">
        <v>61</v>
      </c>
      <c r="CT76" s="7">
        <v>0.77185998370987363</v>
      </c>
      <c r="CU76" s="9">
        <f t="shared" si="10"/>
        <v>7</v>
      </c>
      <c r="CV76" s="38">
        <f>AVERAGE(CU$6:CU76)</f>
        <v>5.0491803278688527</v>
      </c>
      <c r="CW76" s="32"/>
      <c r="CX76" s="9"/>
      <c r="CY76" s="32"/>
      <c r="CZ76" s="9">
        <v>61</v>
      </c>
      <c r="DA76" s="7">
        <v>0.54444062177208252</v>
      </c>
      <c r="DB76" s="9">
        <f t="shared" si="11"/>
        <v>5</v>
      </c>
      <c r="DC76" s="38">
        <f>AVERAGE(DB$6:DB76)</f>
        <v>4.9508196721311473</v>
      </c>
      <c r="DD76" s="32"/>
      <c r="DE76" s="9"/>
      <c r="DF76" s="32"/>
      <c r="DG76" s="9">
        <v>61</v>
      </c>
      <c r="DH76" s="7">
        <v>3.0574613774660975E-2</v>
      </c>
      <c r="DI76" s="9">
        <f t="shared" si="12"/>
        <v>1</v>
      </c>
      <c r="DJ76" s="38">
        <f>AVERAGE(DI$6:DI76)</f>
        <v>5.3934426229508201</v>
      </c>
      <c r="DK76" s="32"/>
      <c r="DL76" s="9"/>
      <c r="DM76" s="32"/>
      <c r="DN76" s="9">
        <v>61</v>
      </c>
      <c r="DO76" s="7">
        <v>0.12529176432872191</v>
      </c>
      <c r="DP76" s="9">
        <f t="shared" si="13"/>
        <v>3</v>
      </c>
      <c r="DQ76" s="38">
        <f>AVERAGE(DP$6:DP76)</f>
        <v>5.1967213114754101</v>
      </c>
      <c r="DR76" s="32"/>
      <c r="DS76" s="9"/>
      <c r="DT76" s="32"/>
      <c r="DU76" s="9">
        <v>61</v>
      </c>
      <c r="DV76" s="7">
        <v>0.54307314197649248</v>
      </c>
      <c r="DW76" s="9">
        <f t="shared" si="14"/>
        <v>5</v>
      </c>
      <c r="DX76" s="38">
        <f>AVERAGE(DW$6:DW76)</f>
        <v>4.9344262295081966</v>
      </c>
      <c r="DY76" s="32"/>
      <c r="DZ76" s="9"/>
      <c r="EA76" s="32"/>
      <c r="EB76" s="9">
        <v>61</v>
      </c>
      <c r="EC76" s="7">
        <v>4.483067593537271E-2</v>
      </c>
      <c r="ED76" s="9">
        <f t="shared" si="15"/>
        <v>2</v>
      </c>
      <c r="EE76" s="38">
        <f>AVERAGE(ED$6:ED76)</f>
        <v>4.7704918032786887</v>
      </c>
      <c r="EF76" s="32"/>
      <c r="EG76" s="9"/>
      <c r="EH76" s="32"/>
      <c r="EI76" s="9">
        <v>61</v>
      </c>
      <c r="EJ76" s="7">
        <v>0.66835363654536195</v>
      </c>
      <c r="EK76" s="9">
        <f t="shared" si="16"/>
        <v>6</v>
      </c>
      <c r="EL76" s="38">
        <f>AVERAGE(EK$6:EK76)</f>
        <v>4.6721311475409832</v>
      </c>
      <c r="EM76" s="32"/>
      <c r="EN76" s="9"/>
      <c r="EO76" s="32"/>
      <c r="EP76" s="9">
        <v>61</v>
      </c>
      <c r="EQ76" s="7">
        <v>0.14491832361090928</v>
      </c>
      <c r="ER76" s="9">
        <f t="shared" si="17"/>
        <v>3</v>
      </c>
      <c r="ES76" s="38">
        <f>AVERAGE(ER$6:ER76)</f>
        <v>4.721311475409836</v>
      </c>
      <c r="ET76" s="32"/>
    </row>
    <row r="77" spans="5:150" x14ac:dyDescent="0.25">
      <c r="E77" s="7"/>
      <c r="L77" s="32"/>
      <c r="M77" s="9">
        <v>62</v>
      </c>
      <c r="N77" s="7">
        <v>7.4873512523481622E-2</v>
      </c>
      <c r="O77" s="9">
        <f t="shared" si="21"/>
        <v>2</v>
      </c>
      <c r="P77" s="38">
        <f>AVERAGE(O$6:O77)</f>
        <v>4.790322580645161</v>
      </c>
      <c r="Q77" s="32"/>
      <c r="R77" s="9"/>
      <c r="S77" s="32"/>
      <c r="T77" s="9">
        <v>62</v>
      </c>
      <c r="U77" s="7">
        <v>0.93072348574060015</v>
      </c>
      <c r="V77" s="9">
        <f t="shared" si="0"/>
        <v>8</v>
      </c>
      <c r="W77" s="38">
        <f>AVERAGE(V$6:V77)</f>
        <v>4.4838709677419351</v>
      </c>
      <c r="X77" s="32"/>
      <c r="Y77" s="9"/>
      <c r="Z77" s="32"/>
      <c r="AA77" s="9">
        <v>62</v>
      </c>
      <c r="AB77" s="7">
        <v>0.88900789691251703</v>
      </c>
      <c r="AC77" s="9">
        <f t="shared" si="1"/>
        <v>8</v>
      </c>
      <c r="AD77" s="38">
        <f>AVERAGE(AC$6:AC77)</f>
        <v>4.903225806451613</v>
      </c>
      <c r="AE77" s="32"/>
      <c r="AF77" s="9"/>
      <c r="AG77" s="32"/>
      <c r="AH77" s="9">
        <v>62</v>
      </c>
      <c r="AI77" s="7">
        <v>0.64486084165400825</v>
      </c>
      <c r="AJ77" s="9">
        <f t="shared" si="2"/>
        <v>6</v>
      </c>
      <c r="AK77" s="38">
        <f>AVERAGE(AJ$6:AJ77)</f>
        <v>5.0483870967741939</v>
      </c>
      <c r="AL77" s="32"/>
      <c r="AM77" s="9"/>
      <c r="AN77" s="32"/>
      <c r="AO77" s="9">
        <v>62</v>
      </c>
      <c r="AP77" s="7">
        <v>0.97183715100982226</v>
      </c>
      <c r="AQ77" s="9">
        <f t="shared" si="3"/>
        <v>10</v>
      </c>
      <c r="AR77" s="38">
        <f>AVERAGE(AQ$6:AQ77)</f>
        <v>5.290322580645161</v>
      </c>
      <c r="AS77" s="32"/>
      <c r="AT77" s="9"/>
      <c r="AU77" s="32"/>
      <c r="AV77" s="9">
        <v>62</v>
      </c>
      <c r="AW77" s="7">
        <v>0.66279587810277008</v>
      </c>
      <c r="AX77" s="9">
        <f t="shared" si="4"/>
        <v>6</v>
      </c>
      <c r="AY77" s="38">
        <f>AVERAGE(AX$6:AX77)</f>
        <v>4.919354838709677</v>
      </c>
      <c r="AZ77" s="32"/>
      <c r="BA77" s="9"/>
      <c r="BB77" s="32"/>
      <c r="BC77" s="9">
        <v>62</v>
      </c>
      <c r="BD77" s="7">
        <v>0.72271355934208259</v>
      </c>
      <c r="BE77" s="9">
        <f t="shared" si="5"/>
        <v>6</v>
      </c>
      <c r="BF77" s="38">
        <f>AVERAGE(BE$6:BE77)</f>
        <v>4.919354838709677</v>
      </c>
      <c r="BG77" s="32"/>
      <c r="BH77" s="9"/>
      <c r="BI77" s="32"/>
      <c r="BJ77" s="9">
        <v>62</v>
      </c>
      <c r="BK77" s="7">
        <v>0.73430287375231273</v>
      </c>
      <c r="BL77" s="9">
        <f t="shared" si="6"/>
        <v>6</v>
      </c>
      <c r="BM77" s="38">
        <f>AVERAGE(BL$6:BL77)</f>
        <v>5.532258064516129</v>
      </c>
      <c r="BN77" s="32"/>
      <c r="BO77" s="9"/>
      <c r="BP77" s="32"/>
      <c r="BQ77" s="9">
        <v>62</v>
      </c>
      <c r="BR77" s="7">
        <v>0.99554989175521769</v>
      </c>
      <c r="BS77" s="9">
        <f t="shared" si="7"/>
        <v>12</v>
      </c>
      <c r="BT77" s="38">
        <f>AVERAGE(BS$6:BS77)</f>
        <v>4.838709677419355</v>
      </c>
      <c r="BU77" s="32"/>
      <c r="BV77" s="9"/>
      <c r="BW77" s="32"/>
      <c r="BX77" s="9">
        <v>62</v>
      </c>
      <c r="BY77" s="7">
        <v>0.73741001842427067</v>
      </c>
      <c r="BZ77" s="9">
        <f t="shared" si="8"/>
        <v>6</v>
      </c>
      <c r="CA77" s="38">
        <f>AVERAGE(BZ$6:BZ77)</f>
        <v>4.774193548387097</v>
      </c>
      <c r="CB77" s="32"/>
      <c r="CC77" s="9"/>
      <c r="CD77" s="32"/>
      <c r="CE77" s="9">
        <v>62</v>
      </c>
      <c r="CF77" s="7">
        <v>0.98733477797941305</v>
      </c>
      <c r="CG77" s="9">
        <f t="shared" si="22"/>
        <v>11</v>
      </c>
      <c r="CH77" s="38">
        <f>AVERAGE(CG$6:CG77)</f>
        <v>4.838709677419355</v>
      </c>
      <c r="CI77" s="32"/>
      <c r="CJ77" s="9"/>
      <c r="CK77" s="32"/>
      <c r="CL77" s="9">
        <v>62</v>
      </c>
      <c r="CM77" s="7">
        <v>0.26100618409691378</v>
      </c>
      <c r="CN77" s="9">
        <f t="shared" si="9"/>
        <v>3</v>
      </c>
      <c r="CO77" s="38">
        <f>AVERAGE(CN$6:CN77)</f>
        <v>4.661290322580645</v>
      </c>
      <c r="CP77" s="32"/>
      <c r="CQ77" s="9"/>
      <c r="CR77" s="32"/>
      <c r="CS77" s="9">
        <v>62</v>
      </c>
      <c r="CT77" s="7">
        <v>0.5078916106140241</v>
      </c>
      <c r="CU77" s="9">
        <f t="shared" si="10"/>
        <v>5</v>
      </c>
      <c r="CV77" s="38">
        <f>AVERAGE(CU$6:CU77)</f>
        <v>5.0483870967741939</v>
      </c>
      <c r="CW77" s="32"/>
      <c r="CX77" s="9"/>
      <c r="CY77" s="32"/>
      <c r="CZ77" s="9">
        <v>62</v>
      </c>
      <c r="DA77" s="7">
        <v>0.38692021265160292</v>
      </c>
      <c r="DB77" s="9">
        <f t="shared" si="11"/>
        <v>4</v>
      </c>
      <c r="DC77" s="38">
        <f>AVERAGE(DB$6:DB77)</f>
        <v>4.935483870967742</v>
      </c>
      <c r="DD77" s="32"/>
      <c r="DE77" s="9"/>
      <c r="DF77" s="32"/>
      <c r="DG77" s="9">
        <v>62</v>
      </c>
      <c r="DH77" s="7">
        <v>0.74592609397950582</v>
      </c>
      <c r="DI77" s="9">
        <f t="shared" si="12"/>
        <v>6</v>
      </c>
      <c r="DJ77" s="38">
        <f>AVERAGE(DI$6:DI77)</f>
        <v>5.403225806451613</v>
      </c>
      <c r="DK77" s="32"/>
      <c r="DL77" s="9"/>
      <c r="DM77" s="32"/>
      <c r="DN77" s="9">
        <v>62</v>
      </c>
      <c r="DO77" s="7">
        <v>0.52525862932088785</v>
      </c>
      <c r="DP77" s="9">
        <f t="shared" si="13"/>
        <v>5</v>
      </c>
      <c r="DQ77" s="38">
        <f>AVERAGE(DP$6:DP77)</f>
        <v>5.193548387096774</v>
      </c>
      <c r="DR77" s="32"/>
      <c r="DS77" s="9"/>
      <c r="DT77" s="32"/>
      <c r="DU77" s="9">
        <v>62</v>
      </c>
      <c r="DV77" s="7">
        <v>0.68266811792273074</v>
      </c>
      <c r="DW77" s="9">
        <f t="shared" si="14"/>
        <v>6</v>
      </c>
      <c r="DX77" s="38">
        <f>AVERAGE(DW$6:DW77)</f>
        <v>4.9516129032258061</v>
      </c>
      <c r="DY77" s="32"/>
      <c r="DZ77" s="9"/>
      <c r="EA77" s="32"/>
      <c r="EB77" s="9">
        <v>62</v>
      </c>
      <c r="EC77" s="7">
        <v>8.7798106746049598E-2</v>
      </c>
      <c r="ED77" s="9">
        <f t="shared" si="15"/>
        <v>2</v>
      </c>
      <c r="EE77" s="38">
        <f>AVERAGE(ED$6:ED77)</f>
        <v>4.725806451612903</v>
      </c>
      <c r="EF77" s="32"/>
      <c r="EG77" s="9"/>
      <c r="EH77" s="32"/>
      <c r="EI77" s="9">
        <v>62</v>
      </c>
      <c r="EJ77" s="7">
        <v>0.20212282089050859</v>
      </c>
      <c r="EK77" s="9">
        <f t="shared" si="16"/>
        <v>3</v>
      </c>
      <c r="EL77" s="38">
        <f>AVERAGE(EK$6:EK77)</f>
        <v>4.645161290322581</v>
      </c>
      <c r="EM77" s="32"/>
      <c r="EN77" s="9"/>
      <c r="EO77" s="32"/>
      <c r="EP77" s="9">
        <v>62</v>
      </c>
      <c r="EQ77" s="7">
        <v>0.63293665964738466</v>
      </c>
      <c r="ER77" s="9">
        <f t="shared" si="17"/>
        <v>6</v>
      </c>
      <c r="ES77" s="38">
        <f>AVERAGE(ER$6:ER77)</f>
        <v>4.741935483870968</v>
      </c>
      <c r="ET77" s="32"/>
    </row>
    <row r="78" spans="5:150" x14ac:dyDescent="0.25">
      <c r="E78" s="7"/>
      <c r="L78" s="32"/>
      <c r="M78" s="9">
        <v>63</v>
      </c>
      <c r="N78" s="7">
        <v>0.55985894962213933</v>
      </c>
      <c r="O78" s="9">
        <f t="shared" si="21"/>
        <v>5</v>
      </c>
      <c r="P78" s="38">
        <f>AVERAGE(O$6:O78)</f>
        <v>4.7936507936507935</v>
      </c>
      <c r="Q78" s="32"/>
      <c r="R78" s="9"/>
      <c r="S78" s="32"/>
      <c r="T78" s="9">
        <v>63</v>
      </c>
      <c r="U78" s="7">
        <v>0.32259515643818304</v>
      </c>
      <c r="V78" s="9">
        <f t="shared" si="0"/>
        <v>4</v>
      </c>
      <c r="W78" s="38">
        <f>AVERAGE(V$6:V78)</f>
        <v>4.4761904761904763</v>
      </c>
      <c r="X78" s="32"/>
      <c r="Y78" s="9"/>
      <c r="Z78" s="32"/>
      <c r="AA78" s="9">
        <v>63</v>
      </c>
      <c r="AB78" s="7">
        <v>0.83906690997537225</v>
      </c>
      <c r="AC78" s="9">
        <f t="shared" si="1"/>
        <v>7</v>
      </c>
      <c r="AD78" s="38">
        <f>AVERAGE(AC$6:AC78)</f>
        <v>4.9365079365079367</v>
      </c>
      <c r="AE78" s="32"/>
      <c r="AF78" s="9"/>
      <c r="AG78" s="32"/>
      <c r="AH78" s="9">
        <v>63</v>
      </c>
      <c r="AI78" s="7">
        <v>0.10333345184335485</v>
      </c>
      <c r="AJ78" s="9">
        <f t="shared" si="2"/>
        <v>2</v>
      </c>
      <c r="AK78" s="38">
        <f>AVERAGE(AJ$6:AJ78)</f>
        <v>5</v>
      </c>
      <c r="AL78" s="32"/>
      <c r="AM78" s="9"/>
      <c r="AN78" s="32"/>
      <c r="AO78" s="9">
        <v>63</v>
      </c>
      <c r="AP78" s="7">
        <v>0.49613277008756995</v>
      </c>
      <c r="AQ78" s="9">
        <f t="shared" si="3"/>
        <v>5</v>
      </c>
      <c r="AR78" s="38">
        <f>AVERAGE(AQ$6:AQ78)</f>
        <v>5.2857142857142856</v>
      </c>
      <c r="AS78" s="32"/>
      <c r="AT78" s="9"/>
      <c r="AU78" s="32"/>
      <c r="AV78" s="9">
        <v>63</v>
      </c>
      <c r="AW78" s="7">
        <v>0.33987722295569256</v>
      </c>
      <c r="AX78" s="9">
        <f t="shared" si="4"/>
        <v>4</v>
      </c>
      <c r="AY78" s="38">
        <f>AVERAGE(AX$6:AX78)</f>
        <v>4.9047619047619051</v>
      </c>
      <c r="AZ78" s="32"/>
      <c r="BA78" s="9"/>
      <c r="BB78" s="32"/>
      <c r="BC78" s="9">
        <v>63</v>
      </c>
      <c r="BD78" s="7">
        <v>0.19748306120163761</v>
      </c>
      <c r="BE78" s="9">
        <f t="shared" si="5"/>
        <v>3</v>
      </c>
      <c r="BF78" s="38">
        <f>AVERAGE(BE$6:BE78)</f>
        <v>4.8888888888888893</v>
      </c>
      <c r="BG78" s="32"/>
      <c r="BH78" s="9"/>
      <c r="BI78" s="32"/>
      <c r="BJ78" s="9">
        <v>63</v>
      </c>
      <c r="BK78" s="7">
        <v>0.16597998247016221</v>
      </c>
      <c r="BL78" s="9">
        <f t="shared" si="6"/>
        <v>3</v>
      </c>
      <c r="BM78" s="38">
        <f>AVERAGE(BL$6:BL78)</f>
        <v>5.4920634920634921</v>
      </c>
      <c r="BN78" s="32"/>
      <c r="BO78" s="9"/>
      <c r="BP78" s="32"/>
      <c r="BQ78" s="9">
        <v>63</v>
      </c>
      <c r="BR78" s="7">
        <v>0.70819425396621227</v>
      </c>
      <c r="BS78" s="9">
        <f t="shared" si="7"/>
        <v>6</v>
      </c>
      <c r="BT78" s="38">
        <f>AVERAGE(BS$6:BS78)</f>
        <v>4.8571428571428568</v>
      </c>
      <c r="BU78" s="32"/>
      <c r="BV78" s="9"/>
      <c r="BW78" s="32"/>
      <c r="BX78" s="9">
        <v>63</v>
      </c>
      <c r="BY78" s="7">
        <v>0.76615948852850124</v>
      </c>
      <c r="BZ78" s="9">
        <f t="shared" si="8"/>
        <v>7</v>
      </c>
      <c r="CA78" s="38">
        <f>AVERAGE(BZ$6:BZ78)</f>
        <v>4.8095238095238093</v>
      </c>
      <c r="CB78" s="32"/>
      <c r="CC78" s="9"/>
      <c r="CD78" s="32"/>
      <c r="CE78" s="9">
        <v>63</v>
      </c>
      <c r="CF78" s="7">
        <v>0.47741065942682326</v>
      </c>
      <c r="CG78" s="9">
        <f t="shared" si="22"/>
        <v>5</v>
      </c>
      <c r="CH78" s="38">
        <f>AVERAGE(CG$6:CG78)</f>
        <v>4.8412698412698409</v>
      </c>
      <c r="CI78" s="32"/>
      <c r="CJ78" s="9"/>
      <c r="CK78" s="32"/>
      <c r="CL78" s="9">
        <v>63</v>
      </c>
      <c r="CM78" s="7">
        <v>0.41818480993970297</v>
      </c>
      <c r="CN78" s="9">
        <f t="shared" si="9"/>
        <v>4</v>
      </c>
      <c r="CO78" s="38">
        <f>AVERAGE(CN$6:CN78)</f>
        <v>4.6507936507936511</v>
      </c>
      <c r="CP78" s="32"/>
      <c r="CQ78" s="9"/>
      <c r="CR78" s="32"/>
      <c r="CS78" s="9">
        <v>63</v>
      </c>
      <c r="CT78" s="7">
        <v>0.56417946625151671</v>
      </c>
      <c r="CU78" s="9">
        <f t="shared" si="10"/>
        <v>5</v>
      </c>
      <c r="CV78" s="38">
        <f>AVERAGE(CU$6:CU78)</f>
        <v>5.0476190476190474</v>
      </c>
      <c r="CW78" s="32"/>
      <c r="CX78" s="9"/>
      <c r="CY78" s="32"/>
      <c r="CZ78" s="9">
        <v>63</v>
      </c>
      <c r="DA78" s="7">
        <v>0.26390951560460962</v>
      </c>
      <c r="DB78" s="9">
        <f t="shared" si="11"/>
        <v>3</v>
      </c>
      <c r="DC78" s="38">
        <f>AVERAGE(DB$6:DB78)</f>
        <v>4.9047619047619051</v>
      </c>
      <c r="DD78" s="32"/>
      <c r="DE78" s="9"/>
      <c r="DF78" s="32"/>
      <c r="DG78" s="9">
        <v>63</v>
      </c>
      <c r="DH78" s="7">
        <v>0.15193839947460219</v>
      </c>
      <c r="DI78" s="9">
        <f t="shared" si="12"/>
        <v>3</v>
      </c>
      <c r="DJ78" s="38">
        <f>AVERAGE(DI$6:DI78)</f>
        <v>5.3650793650793647</v>
      </c>
      <c r="DK78" s="32"/>
      <c r="DL78" s="9"/>
      <c r="DM78" s="32"/>
      <c r="DN78" s="9">
        <v>63</v>
      </c>
      <c r="DO78" s="7">
        <v>0.50819410028634593</v>
      </c>
      <c r="DP78" s="9">
        <f t="shared" si="13"/>
        <v>5</v>
      </c>
      <c r="DQ78" s="38">
        <f>AVERAGE(DP$6:DP78)</f>
        <v>5.1904761904761907</v>
      </c>
      <c r="DR78" s="32"/>
      <c r="DS78" s="9"/>
      <c r="DT78" s="32"/>
      <c r="DU78" s="9">
        <v>63</v>
      </c>
      <c r="DV78" s="7">
        <v>0.57408073023543693</v>
      </c>
      <c r="DW78" s="9">
        <f t="shared" si="14"/>
        <v>5</v>
      </c>
      <c r="DX78" s="38">
        <f>AVERAGE(DW$6:DW78)</f>
        <v>4.9523809523809526</v>
      </c>
      <c r="DY78" s="32"/>
      <c r="DZ78" s="9"/>
      <c r="EA78" s="32"/>
      <c r="EB78" s="9">
        <v>63</v>
      </c>
      <c r="EC78" s="7">
        <v>0.21602497424464673</v>
      </c>
      <c r="ED78" s="9">
        <f t="shared" si="15"/>
        <v>3</v>
      </c>
      <c r="EE78" s="38">
        <f>AVERAGE(ED$6:ED78)</f>
        <v>4.6984126984126986</v>
      </c>
      <c r="EF78" s="32"/>
      <c r="EG78" s="9"/>
      <c r="EH78" s="32"/>
      <c r="EI78" s="9">
        <v>63</v>
      </c>
      <c r="EJ78" s="7">
        <v>9.3252758641028777E-2</v>
      </c>
      <c r="EK78" s="9">
        <f t="shared" si="16"/>
        <v>2</v>
      </c>
      <c r="EL78" s="38">
        <f>AVERAGE(EK$6:EK78)</f>
        <v>4.6031746031746028</v>
      </c>
      <c r="EM78" s="32"/>
      <c r="EN78" s="9"/>
      <c r="EO78" s="32"/>
      <c r="EP78" s="9">
        <v>63</v>
      </c>
      <c r="EQ78" s="7">
        <v>0.96237971843220294</v>
      </c>
      <c r="ER78" s="9">
        <f t="shared" si="17"/>
        <v>9</v>
      </c>
      <c r="ES78" s="38">
        <f>AVERAGE(ER$6:ER78)</f>
        <v>4.8095238095238093</v>
      </c>
      <c r="ET78" s="32"/>
    </row>
    <row r="79" spans="5:150" x14ac:dyDescent="0.25">
      <c r="E79" s="7"/>
      <c r="L79" s="32"/>
      <c r="M79" s="9">
        <v>64</v>
      </c>
      <c r="N79" s="7">
        <v>0.32735905543086119</v>
      </c>
      <c r="O79" s="9">
        <f t="shared" si="21"/>
        <v>4</v>
      </c>
      <c r="P79" s="38">
        <f>AVERAGE(O$6:O79)</f>
        <v>4.78125</v>
      </c>
      <c r="Q79" s="32"/>
      <c r="R79" s="9"/>
      <c r="S79" s="32"/>
      <c r="T79" s="9">
        <v>64</v>
      </c>
      <c r="U79" s="7">
        <v>0.13650556569336914</v>
      </c>
      <c r="V79" s="9">
        <f t="shared" si="0"/>
        <v>3</v>
      </c>
      <c r="W79" s="38">
        <f>AVERAGE(V$6:V79)</f>
        <v>4.453125</v>
      </c>
      <c r="X79" s="32"/>
      <c r="Y79" s="9"/>
      <c r="Z79" s="32"/>
      <c r="AA79" s="9">
        <v>64</v>
      </c>
      <c r="AB79" s="7">
        <v>0.11945863734581508</v>
      </c>
      <c r="AC79" s="9">
        <f t="shared" si="1"/>
        <v>2</v>
      </c>
      <c r="AD79" s="38">
        <f>AVERAGE(AC$6:AC79)</f>
        <v>4.890625</v>
      </c>
      <c r="AE79" s="32"/>
      <c r="AF79" s="9"/>
      <c r="AG79" s="32"/>
      <c r="AH79" s="9">
        <v>64</v>
      </c>
      <c r="AI79" s="7">
        <v>0.2167276993568521</v>
      </c>
      <c r="AJ79" s="9">
        <f t="shared" si="2"/>
        <v>3</v>
      </c>
      <c r="AK79" s="38">
        <f>AVERAGE(AJ$6:AJ79)</f>
        <v>4.96875</v>
      </c>
      <c r="AL79" s="32"/>
      <c r="AM79" s="9"/>
      <c r="AN79" s="32"/>
      <c r="AO79" s="9">
        <v>64</v>
      </c>
      <c r="AP79" s="7">
        <v>0.50837659512762912</v>
      </c>
      <c r="AQ79" s="9">
        <f t="shared" si="3"/>
        <v>5</v>
      </c>
      <c r="AR79" s="38">
        <f>AVERAGE(AQ$6:AQ79)</f>
        <v>5.28125</v>
      </c>
      <c r="AS79" s="32"/>
      <c r="AT79" s="9"/>
      <c r="AU79" s="32"/>
      <c r="AV79" s="9">
        <v>64</v>
      </c>
      <c r="AW79" s="7">
        <v>3.6769822210771963E-2</v>
      </c>
      <c r="AX79" s="9">
        <f t="shared" si="4"/>
        <v>1</v>
      </c>
      <c r="AY79" s="38">
        <f>AVERAGE(AX$6:AX79)</f>
        <v>4.84375</v>
      </c>
      <c r="AZ79" s="32"/>
      <c r="BA79" s="9"/>
      <c r="BB79" s="32"/>
      <c r="BC79" s="9">
        <v>64</v>
      </c>
      <c r="BD79" s="7">
        <v>0.70377651887247339</v>
      </c>
      <c r="BE79" s="9">
        <f t="shared" si="5"/>
        <v>6</v>
      </c>
      <c r="BF79" s="38">
        <f>AVERAGE(BE$6:BE79)</f>
        <v>4.90625</v>
      </c>
      <c r="BG79" s="32"/>
      <c r="BH79" s="9"/>
      <c r="BI79" s="32"/>
      <c r="BJ79" s="9">
        <v>64</v>
      </c>
      <c r="BK79" s="7">
        <v>0.47969097216264345</v>
      </c>
      <c r="BL79" s="9">
        <f t="shared" si="6"/>
        <v>5</v>
      </c>
      <c r="BM79" s="38">
        <f>AVERAGE(BL$6:BL79)</f>
        <v>5.484375</v>
      </c>
      <c r="BN79" s="32"/>
      <c r="BO79" s="9"/>
      <c r="BP79" s="32"/>
      <c r="BQ79" s="9">
        <v>64</v>
      </c>
      <c r="BR79" s="7">
        <v>0.72004079262842424</v>
      </c>
      <c r="BS79" s="9">
        <f t="shared" si="7"/>
        <v>6</v>
      </c>
      <c r="BT79" s="38">
        <f>AVERAGE(BS$6:BS79)</f>
        <v>4.875</v>
      </c>
      <c r="BU79" s="32"/>
      <c r="BV79" s="9"/>
      <c r="BW79" s="32"/>
      <c r="BX79" s="9">
        <v>64</v>
      </c>
      <c r="BY79" s="7">
        <v>0.57213659220724367</v>
      </c>
      <c r="BZ79" s="9">
        <f t="shared" si="8"/>
        <v>5</v>
      </c>
      <c r="CA79" s="38">
        <f>AVERAGE(BZ$6:BZ79)</f>
        <v>4.8125</v>
      </c>
      <c r="CB79" s="32"/>
      <c r="CC79" s="9"/>
      <c r="CD79" s="32"/>
      <c r="CE79" s="9">
        <v>64</v>
      </c>
      <c r="CF79" s="7">
        <v>0.86648960484308191</v>
      </c>
      <c r="CG79" s="9">
        <f t="shared" si="22"/>
        <v>7</v>
      </c>
      <c r="CH79" s="38">
        <f>AVERAGE(CG$6:CG79)</f>
        <v>4.875</v>
      </c>
      <c r="CI79" s="32"/>
      <c r="CJ79" s="9"/>
      <c r="CK79" s="32"/>
      <c r="CL79" s="9">
        <v>64</v>
      </c>
      <c r="CM79" s="7">
        <v>0.36517711897613481</v>
      </c>
      <c r="CN79" s="9">
        <f t="shared" si="9"/>
        <v>4</v>
      </c>
      <c r="CO79" s="38">
        <f>AVERAGE(CN$6:CN79)</f>
        <v>4.640625</v>
      </c>
      <c r="CP79" s="32"/>
      <c r="CQ79" s="9"/>
      <c r="CR79" s="32"/>
      <c r="CS79" s="9">
        <v>64</v>
      </c>
      <c r="CT79" s="7">
        <v>0.5524251195602119</v>
      </c>
      <c r="CU79" s="9">
        <f t="shared" si="10"/>
        <v>5</v>
      </c>
      <c r="CV79" s="38">
        <f>AVERAGE(CU$6:CU79)</f>
        <v>5.046875</v>
      </c>
      <c r="CW79" s="32"/>
      <c r="CX79" s="9"/>
      <c r="CY79" s="32"/>
      <c r="CZ79" s="9">
        <v>64</v>
      </c>
      <c r="DA79" s="7">
        <v>0.91340053640305996</v>
      </c>
      <c r="DB79" s="9">
        <f t="shared" si="11"/>
        <v>8</v>
      </c>
      <c r="DC79" s="38">
        <f>AVERAGE(DB$6:DB79)</f>
        <v>4.953125</v>
      </c>
      <c r="DD79" s="32"/>
      <c r="DE79" s="9"/>
      <c r="DF79" s="32"/>
      <c r="DG79" s="9">
        <v>64</v>
      </c>
      <c r="DH79" s="7">
        <v>0.24827572944923304</v>
      </c>
      <c r="DI79" s="9">
        <f t="shared" si="12"/>
        <v>3</v>
      </c>
      <c r="DJ79" s="38">
        <f>AVERAGE(DI$6:DI79)</f>
        <v>5.328125</v>
      </c>
      <c r="DK79" s="32"/>
      <c r="DL79" s="9"/>
      <c r="DM79" s="32"/>
      <c r="DN79" s="9">
        <v>64</v>
      </c>
      <c r="DO79" s="7">
        <v>0.71996164749725722</v>
      </c>
      <c r="DP79" s="9">
        <f t="shared" si="13"/>
        <v>6</v>
      </c>
      <c r="DQ79" s="38">
        <f>AVERAGE(DP$6:DP79)</f>
        <v>5.203125</v>
      </c>
      <c r="DR79" s="32"/>
      <c r="DS79" s="9"/>
      <c r="DT79" s="32"/>
      <c r="DU79" s="9">
        <v>64</v>
      </c>
      <c r="DV79" s="7">
        <v>0.65157607127912343</v>
      </c>
      <c r="DW79" s="9">
        <f t="shared" si="14"/>
        <v>6</v>
      </c>
      <c r="DX79" s="38">
        <f>AVERAGE(DW$6:DW79)</f>
        <v>4.96875</v>
      </c>
      <c r="DY79" s="32"/>
      <c r="DZ79" s="9"/>
      <c r="EA79" s="32"/>
      <c r="EB79" s="9">
        <v>64</v>
      </c>
      <c r="EC79" s="7">
        <v>0.25286173602216877</v>
      </c>
      <c r="ED79" s="9">
        <f t="shared" si="15"/>
        <v>3</v>
      </c>
      <c r="EE79" s="38">
        <f>AVERAGE(ED$6:ED79)</f>
        <v>4.671875</v>
      </c>
      <c r="EF79" s="32"/>
      <c r="EG79" s="9"/>
      <c r="EH79" s="32"/>
      <c r="EI79" s="9">
        <v>64</v>
      </c>
      <c r="EJ79" s="7">
        <v>2.5170700158923864E-2</v>
      </c>
      <c r="EK79" s="9">
        <f t="shared" si="16"/>
        <v>1</v>
      </c>
      <c r="EL79" s="38">
        <f>AVERAGE(EK$6:EK79)</f>
        <v>4.546875</v>
      </c>
      <c r="EM79" s="32"/>
      <c r="EN79" s="9"/>
      <c r="EO79" s="32"/>
      <c r="EP79" s="9">
        <v>64</v>
      </c>
      <c r="EQ79" s="7">
        <v>0.62555499261361547</v>
      </c>
      <c r="ER79" s="9">
        <f t="shared" si="17"/>
        <v>6</v>
      </c>
      <c r="ES79" s="38">
        <f>AVERAGE(ER$6:ER79)</f>
        <v>4.828125</v>
      </c>
      <c r="ET79" s="32"/>
    </row>
    <row r="80" spans="5:150" x14ac:dyDescent="0.25">
      <c r="E80" s="7"/>
      <c r="L80" s="32">
        <v>9</v>
      </c>
      <c r="M80" s="9">
        <v>65</v>
      </c>
      <c r="N80" s="7">
        <v>0.58991354692261666</v>
      </c>
      <c r="O80" s="9">
        <f t="shared" si="21"/>
        <v>5</v>
      </c>
      <c r="P80" s="38">
        <f>AVERAGE(O$6:O80)</f>
        <v>4.7846153846153845</v>
      </c>
      <c r="Q80" s="32">
        <f t="shared" ref="Q80" si="164">SUM(O80:O87)</f>
        <v>46</v>
      </c>
      <c r="R80" s="9"/>
      <c r="S80" s="32">
        <v>9</v>
      </c>
      <c r="T80" s="9">
        <v>65</v>
      </c>
      <c r="U80" s="7">
        <v>0.30036633211420849</v>
      </c>
      <c r="V80" s="9">
        <f t="shared" si="0"/>
        <v>4</v>
      </c>
      <c r="W80" s="38">
        <f>AVERAGE(V$6:V80)</f>
        <v>4.4461538461538463</v>
      </c>
      <c r="X80" s="32">
        <f t="shared" ref="X80" si="165">SUM(V80:V87)</f>
        <v>43</v>
      </c>
      <c r="Y80" s="9"/>
      <c r="Z80" s="32">
        <v>9</v>
      </c>
      <c r="AA80" s="9">
        <v>65</v>
      </c>
      <c r="AB80" s="7">
        <v>0.5211982331238687</v>
      </c>
      <c r="AC80" s="9">
        <f t="shared" si="1"/>
        <v>5</v>
      </c>
      <c r="AD80" s="38">
        <f>AVERAGE(AC$6:AC80)</f>
        <v>4.8923076923076927</v>
      </c>
      <c r="AE80" s="32">
        <f t="shared" ref="AE80" si="166">SUM(AC80:AC87)</f>
        <v>41</v>
      </c>
      <c r="AF80" s="9"/>
      <c r="AG80" s="32">
        <v>9</v>
      </c>
      <c r="AH80" s="9">
        <v>65</v>
      </c>
      <c r="AI80" s="7">
        <v>0.61476516880793497</v>
      </c>
      <c r="AJ80" s="9">
        <f t="shared" si="2"/>
        <v>5</v>
      </c>
      <c r="AK80" s="38">
        <f>AVERAGE(AJ$6:AJ80)</f>
        <v>4.9692307692307693</v>
      </c>
      <c r="AL80" s="32">
        <f t="shared" ref="AL80" si="167">SUM(AJ80:AJ87)</f>
        <v>32</v>
      </c>
      <c r="AM80" s="9"/>
      <c r="AN80" s="32">
        <v>9</v>
      </c>
      <c r="AO80" s="9">
        <v>65</v>
      </c>
      <c r="AP80" s="7">
        <v>0.81394649075809866</v>
      </c>
      <c r="AQ80" s="9">
        <f t="shared" si="3"/>
        <v>7</v>
      </c>
      <c r="AR80" s="38">
        <f>AVERAGE(AQ$6:AQ80)</f>
        <v>5.3076923076923075</v>
      </c>
      <c r="AS80" s="32">
        <f t="shared" ref="AS80" si="168">SUM(AQ80:AQ87)</f>
        <v>38</v>
      </c>
      <c r="AT80" s="9"/>
      <c r="AU80" s="32">
        <v>9</v>
      </c>
      <c r="AV80" s="9">
        <v>65</v>
      </c>
      <c r="AW80" s="7">
        <v>0.93645843857666478</v>
      </c>
      <c r="AX80" s="9">
        <f t="shared" si="4"/>
        <v>9</v>
      </c>
      <c r="AY80" s="38">
        <f>AVERAGE(AX$6:AX80)</f>
        <v>4.907692307692308</v>
      </c>
      <c r="AZ80" s="32">
        <f t="shared" ref="AZ80" si="169">SUM(AX80:AX87)</f>
        <v>40</v>
      </c>
      <c r="BA80" s="9"/>
      <c r="BB80" s="32">
        <v>9</v>
      </c>
      <c r="BC80" s="9">
        <v>65</v>
      </c>
      <c r="BD80" s="7">
        <v>0.44490721935289912</v>
      </c>
      <c r="BE80" s="9">
        <f t="shared" si="5"/>
        <v>5</v>
      </c>
      <c r="BF80" s="38">
        <f>AVERAGE(BE$6:BE80)</f>
        <v>4.907692307692308</v>
      </c>
      <c r="BG80" s="32">
        <f t="shared" ref="BG80" si="170">SUM(BE80:BE87)</f>
        <v>34</v>
      </c>
      <c r="BH80" s="9"/>
      <c r="BI80" s="32">
        <v>9</v>
      </c>
      <c r="BJ80" s="9">
        <v>65</v>
      </c>
      <c r="BK80" s="7">
        <v>4.0850663790479302E-2</v>
      </c>
      <c r="BL80" s="9">
        <f t="shared" si="6"/>
        <v>2</v>
      </c>
      <c r="BM80" s="38">
        <f>AVERAGE(BL$6:BL80)</f>
        <v>5.430769230769231</v>
      </c>
      <c r="BN80" s="32">
        <f t="shared" ref="BN80" si="171">SUM(BL80:BL87)</f>
        <v>37</v>
      </c>
      <c r="BO80" s="9"/>
      <c r="BP80" s="32">
        <v>9</v>
      </c>
      <c r="BQ80" s="9">
        <v>65</v>
      </c>
      <c r="BR80" s="7">
        <v>0.82100820366758853</v>
      </c>
      <c r="BS80" s="9">
        <f t="shared" si="7"/>
        <v>7</v>
      </c>
      <c r="BT80" s="38">
        <f>AVERAGE(BS$6:BS80)</f>
        <v>4.907692307692308</v>
      </c>
      <c r="BU80" s="32">
        <f t="shared" ref="BU80" si="172">SUM(BS80:BS87)</f>
        <v>53</v>
      </c>
      <c r="BV80" s="9"/>
      <c r="BW80" s="32">
        <v>9</v>
      </c>
      <c r="BX80" s="9">
        <v>65</v>
      </c>
      <c r="BY80" s="7">
        <v>0.65034498675959185</v>
      </c>
      <c r="BZ80" s="9">
        <f t="shared" si="8"/>
        <v>6</v>
      </c>
      <c r="CA80" s="38">
        <f>AVERAGE(BZ$6:BZ80)</f>
        <v>4.8307692307692305</v>
      </c>
      <c r="CB80" s="32">
        <f t="shared" ref="CB80" si="173">SUM(BZ80:BZ87)</f>
        <v>50</v>
      </c>
      <c r="CC80" s="9"/>
      <c r="CD80" s="32">
        <v>9</v>
      </c>
      <c r="CE80" s="9">
        <v>65</v>
      </c>
      <c r="CF80" s="7">
        <v>0.24214649421628565</v>
      </c>
      <c r="CG80" s="9">
        <f t="shared" si="22"/>
        <v>3</v>
      </c>
      <c r="CH80" s="38">
        <f>AVERAGE(CG$6:CG80)</f>
        <v>4.8461538461538458</v>
      </c>
      <c r="CI80" s="32">
        <f t="shared" ref="CI80" si="174">SUM(CG80:CG87)</f>
        <v>36</v>
      </c>
      <c r="CJ80" s="9"/>
      <c r="CK80" s="32">
        <v>9</v>
      </c>
      <c r="CL80" s="9">
        <v>65</v>
      </c>
      <c r="CM80" s="7">
        <v>6.6216272738529369E-2</v>
      </c>
      <c r="CN80" s="9">
        <f t="shared" si="9"/>
        <v>2</v>
      </c>
      <c r="CO80" s="38">
        <f>AVERAGE(CN$6:CN80)</f>
        <v>4.5999999999999996</v>
      </c>
      <c r="CP80" s="32">
        <f t="shared" ref="CP80" si="175">SUM(CN80:CN87)</f>
        <v>36</v>
      </c>
      <c r="CQ80" s="9"/>
      <c r="CR80" s="32">
        <v>9</v>
      </c>
      <c r="CS80" s="9">
        <v>65</v>
      </c>
      <c r="CT80" s="7">
        <v>0.49893657353823073</v>
      </c>
      <c r="CU80" s="9">
        <f t="shared" si="10"/>
        <v>5</v>
      </c>
      <c r="CV80" s="38">
        <f>AVERAGE(CU$6:CU80)</f>
        <v>5.046153846153846</v>
      </c>
      <c r="CW80" s="32">
        <f t="shared" ref="CW80" si="176">SUM(CU80:CU87)</f>
        <v>41</v>
      </c>
      <c r="CX80" s="9"/>
      <c r="CY80" s="32">
        <v>9</v>
      </c>
      <c r="CZ80" s="9">
        <v>65</v>
      </c>
      <c r="DA80" s="7">
        <v>0.40127624760498293</v>
      </c>
      <c r="DB80" s="9">
        <f t="shared" si="11"/>
        <v>4</v>
      </c>
      <c r="DC80" s="38">
        <f>AVERAGE(DB$6:DB80)</f>
        <v>4.9384615384615387</v>
      </c>
      <c r="DD80" s="32">
        <f t="shared" ref="DD80" si="177">SUM(DB80:DB87)</f>
        <v>39</v>
      </c>
      <c r="DE80" s="9"/>
      <c r="DF80" s="32">
        <v>9</v>
      </c>
      <c r="DG80" s="9">
        <v>65</v>
      </c>
      <c r="DH80" s="7">
        <v>0.86200066638411954</v>
      </c>
      <c r="DI80" s="9">
        <f t="shared" si="12"/>
        <v>7</v>
      </c>
      <c r="DJ80" s="38">
        <f>AVERAGE(DI$6:DI80)</f>
        <v>5.3538461538461535</v>
      </c>
      <c r="DK80" s="32">
        <f t="shared" ref="DK80" si="178">SUM(DI80:DI87)</f>
        <v>40</v>
      </c>
      <c r="DL80" s="9"/>
      <c r="DM80" s="32">
        <v>9</v>
      </c>
      <c r="DN80" s="9">
        <v>65</v>
      </c>
      <c r="DO80" s="7">
        <v>0.78024846111657098</v>
      </c>
      <c r="DP80" s="9">
        <f t="shared" si="13"/>
        <v>7</v>
      </c>
      <c r="DQ80" s="38">
        <f>AVERAGE(DP$6:DP80)</f>
        <v>5.2307692307692308</v>
      </c>
      <c r="DR80" s="32">
        <f t="shared" ref="DR80" si="179">SUM(DP80:DP87)</f>
        <v>46</v>
      </c>
      <c r="DS80" s="9"/>
      <c r="DT80" s="32">
        <v>9</v>
      </c>
      <c r="DU80" s="9">
        <v>65</v>
      </c>
      <c r="DV80" s="7">
        <v>0.56167670877766795</v>
      </c>
      <c r="DW80" s="9">
        <f t="shared" si="14"/>
        <v>5</v>
      </c>
      <c r="DX80" s="38">
        <f>AVERAGE(DW$6:DW80)</f>
        <v>4.9692307692307693</v>
      </c>
      <c r="DY80" s="32">
        <f t="shared" ref="DY80" si="180">SUM(DW80:DW87)</f>
        <v>33</v>
      </c>
      <c r="DZ80" s="9"/>
      <c r="EA80" s="32">
        <v>9</v>
      </c>
      <c r="EB80" s="9">
        <v>65</v>
      </c>
      <c r="EC80" s="7">
        <v>0.2237940514460206</v>
      </c>
      <c r="ED80" s="9">
        <f t="shared" si="15"/>
        <v>3</v>
      </c>
      <c r="EE80" s="38">
        <f>AVERAGE(ED$6:ED80)</f>
        <v>4.6461538461538465</v>
      </c>
      <c r="EF80" s="32">
        <f t="shared" ref="EF80" si="181">SUM(ED80:ED87)</f>
        <v>40</v>
      </c>
      <c r="EG80" s="9"/>
      <c r="EH80" s="32">
        <v>9</v>
      </c>
      <c r="EI80" s="9">
        <v>65</v>
      </c>
      <c r="EJ80" s="7">
        <v>0.96291058187489398</v>
      </c>
      <c r="EK80" s="9">
        <f t="shared" si="16"/>
        <v>9</v>
      </c>
      <c r="EL80" s="38">
        <f>AVERAGE(EK$6:EK80)</f>
        <v>4.615384615384615</v>
      </c>
      <c r="EM80" s="32">
        <f t="shared" ref="EM80" si="182">SUM(EK80:EK87)</f>
        <v>50</v>
      </c>
      <c r="EN80" s="9"/>
      <c r="EO80" s="32">
        <v>9</v>
      </c>
      <c r="EP80" s="9">
        <v>65</v>
      </c>
      <c r="EQ80" s="7">
        <v>0.16082119604106992</v>
      </c>
      <c r="ER80" s="9">
        <f t="shared" si="17"/>
        <v>3</v>
      </c>
      <c r="ES80" s="38">
        <f>AVERAGE(ER$6:ER80)</f>
        <v>4.8</v>
      </c>
      <c r="ET80" s="32">
        <f t="shared" ref="ET80" si="183">SUM(ER80:ER87)</f>
        <v>44</v>
      </c>
    </row>
    <row r="81" spans="5:150" x14ac:dyDescent="0.25">
      <c r="E81" s="7"/>
      <c r="L81" s="32"/>
      <c r="M81" s="9">
        <v>66</v>
      </c>
      <c r="N81" s="7">
        <v>0.80547666517668404</v>
      </c>
      <c r="O81" s="9">
        <f t="shared" si="21"/>
        <v>7</v>
      </c>
      <c r="P81" s="38">
        <f>AVERAGE(O$6:O81)</f>
        <v>4.8181818181818183</v>
      </c>
      <c r="Q81" s="32"/>
      <c r="R81" s="9"/>
      <c r="S81" s="32"/>
      <c r="T81" s="9">
        <v>66</v>
      </c>
      <c r="U81" s="7">
        <v>0.688661038846476</v>
      </c>
      <c r="V81" s="9">
        <f t="shared" ref="V81:V135" si="184">LOOKUP(U81,G$16:H$38,D$16:D$38)</f>
        <v>6</v>
      </c>
      <c r="W81" s="38">
        <f>AVERAGE(V$6:V81)</f>
        <v>4.4696969696969697</v>
      </c>
      <c r="X81" s="32"/>
      <c r="Y81" s="9"/>
      <c r="Z81" s="32"/>
      <c r="AA81" s="9">
        <v>66</v>
      </c>
      <c r="AB81" s="7">
        <v>0.41709005882148631</v>
      </c>
      <c r="AC81" s="9">
        <f t="shared" ref="AC81:AC135" si="185">LOOKUP(AB81,G$16:H$38,D$16:D$38)</f>
        <v>4</v>
      </c>
      <c r="AD81" s="38">
        <f>AVERAGE(AC$6:AC81)</f>
        <v>4.8787878787878789</v>
      </c>
      <c r="AE81" s="32"/>
      <c r="AF81" s="9"/>
      <c r="AG81" s="32"/>
      <c r="AH81" s="9">
        <v>66</v>
      </c>
      <c r="AI81" s="7">
        <v>0.60406193611561321</v>
      </c>
      <c r="AJ81" s="9">
        <f t="shared" ref="AJ81:AJ135" si="186">LOOKUP(AI81,G$16:H$38,D$16:D$38)</f>
        <v>5</v>
      </c>
      <c r="AK81" s="38">
        <f>AVERAGE(AJ$6:AJ81)</f>
        <v>4.9696969696969697</v>
      </c>
      <c r="AL81" s="32"/>
      <c r="AM81" s="9"/>
      <c r="AN81" s="32"/>
      <c r="AO81" s="9">
        <v>66</v>
      </c>
      <c r="AP81" s="7">
        <v>0.18244274044991471</v>
      </c>
      <c r="AQ81" s="9">
        <f t="shared" ref="AQ81:AQ135" si="187">LOOKUP(AP81,G$16:H$38,D$16:D$38)</f>
        <v>3</v>
      </c>
      <c r="AR81" s="38">
        <f>AVERAGE(AQ$6:AQ81)</f>
        <v>5.2727272727272725</v>
      </c>
      <c r="AS81" s="32"/>
      <c r="AT81" s="9"/>
      <c r="AU81" s="32"/>
      <c r="AV81" s="9">
        <v>66</v>
      </c>
      <c r="AW81" s="7">
        <v>0.27609586701146327</v>
      </c>
      <c r="AX81" s="9">
        <f t="shared" ref="AX81:AX135" si="188">LOOKUP(AW81,G$16:H$38,D$16:D$38)</f>
        <v>4</v>
      </c>
      <c r="AY81" s="38">
        <f>AVERAGE(AX$6:AX81)</f>
        <v>4.8939393939393936</v>
      </c>
      <c r="AZ81" s="32"/>
      <c r="BA81" s="9"/>
      <c r="BB81" s="32"/>
      <c r="BC81" s="9">
        <v>66</v>
      </c>
      <c r="BD81" s="7">
        <v>0.12721796677215025</v>
      </c>
      <c r="BE81" s="9">
        <f t="shared" ref="BE81:BE135" si="189">LOOKUP(BD81,G$16:H$38,D$16:D$38)</f>
        <v>3</v>
      </c>
      <c r="BF81" s="38">
        <f>AVERAGE(BE$6:BE81)</f>
        <v>4.8787878787878789</v>
      </c>
      <c r="BG81" s="32"/>
      <c r="BH81" s="9"/>
      <c r="BI81" s="32"/>
      <c r="BJ81" s="9">
        <v>66</v>
      </c>
      <c r="BK81" s="7">
        <v>3.809185212594457E-2</v>
      </c>
      <c r="BL81" s="9">
        <f t="shared" ref="BL81:BL135" si="190">LOOKUP(BK81,G$16:H$38,D$16:D$38)</f>
        <v>1</v>
      </c>
      <c r="BM81" s="38">
        <f>AVERAGE(BL$6:BL81)</f>
        <v>5.3636363636363633</v>
      </c>
      <c r="BN81" s="32"/>
      <c r="BO81" s="9"/>
      <c r="BP81" s="32"/>
      <c r="BQ81" s="9">
        <v>66</v>
      </c>
      <c r="BR81" s="7">
        <v>0.8192248888371978</v>
      </c>
      <c r="BS81" s="9">
        <f t="shared" ref="BS81:BS135" si="191">LOOKUP(BR81,G$16:H$38,D$16:D$38)</f>
        <v>7</v>
      </c>
      <c r="BT81" s="38">
        <f>AVERAGE(BS$6:BS81)</f>
        <v>4.9393939393939394</v>
      </c>
      <c r="BU81" s="32"/>
      <c r="BV81" s="9"/>
      <c r="BW81" s="32"/>
      <c r="BX81" s="9">
        <v>66</v>
      </c>
      <c r="BY81" s="7">
        <v>0.92766818121890537</v>
      </c>
      <c r="BZ81" s="9">
        <f t="shared" ref="BZ81:BZ135" si="192">LOOKUP(BY81,G$16:H$38,D$16:D$38)</f>
        <v>8</v>
      </c>
      <c r="CA81" s="38">
        <f>AVERAGE(BZ$6:BZ81)</f>
        <v>4.8787878787878789</v>
      </c>
      <c r="CB81" s="32"/>
      <c r="CC81" s="9"/>
      <c r="CD81" s="32"/>
      <c r="CE81" s="9">
        <v>66</v>
      </c>
      <c r="CF81" s="7">
        <v>0.7054445214162115</v>
      </c>
      <c r="CG81" s="9">
        <f t="shared" ref="CG81:CG135" si="193">LOOKUP(CF81,G$16:H$38,D$16:D$38)</f>
        <v>6</v>
      </c>
      <c r="CH81" s="38">
        <f>AVERAGE(CG$6:CG81)</f>
        <v>4.8636363636363633</v>
      </c>
      <c r="CI81" s="32"/>
      <c r="CJ81" s="9"/>
      <c r="CK81" s="32"/>
      <c r="CL81" s="9">
        <v>66</v>
      </c>
      <c r="CM81" s="7">
        <v>0.10138046037172899</v>
      </c>
      <c r="CN81" s="9">
        <f t="shared" ref="CN81:CN135" si="194">LOOKUP(CM81,G$16:H$38,D$16:D$38)</f>
        <v>2</v>
      </c>
      <c r="CO81" s="38">
        <f>AVERAGE(CN$6:CN81)</f>
        <v>4.5606060606060606</v>
      </c>
      <c r="CP81" s="32"/>
      <c r="CQ81" s="9"/>
      <c r="CR81" s="32"/>
      <c r="CS81" s="9">
        <v>66</v>
      </c>
      <c r="CT81" s="7">
        <v>0.95233537221793085</v>
      </c>
      <c r="CU81" s="9">
        <f t="shared" ref="CU81:CU135" si="195">LOOKUP(CT81,G$16:H$38,D$16:D$38)</f>
        <v>9</v>
      </c>
      <c r="CV81" s="38">
        <f>AVERAGE(CU$6:CU81)</f>
        <v>5.1060606060606064</v>
      </c>
      <c r="CW81" s="32"/>
      <c r="CX81" s="9"/>
      <c r="CY81" s="32"/>
      <c r="CZ81" s="9">
        <v>66</v>
      </c>
      <c r="DA81" s="7">
        <v>0.65726751659531146</v>
      </c>
      <c r="DB81" s="9">
        <f t="shared" ref="DB81:DB135" si="196">LOOKUP(DA81,G$16:H$38,D$16:D$38)</f>
        <v>6</v>
      </c>
      <c r="DC81" s="38">
        <f>AVERAGE(DB$6:DB81)</f>
        <v>4.9545454545454541</v>
      </c>
      <c r="DD81" s="32"/>
      <c r="DE81" s="9"/>
      <c r="DF81" s="32"/>
      <c r="DG81" s="9">
        <v>66</v>
      </c>
      <c r="DH81" s="7">
        <v>0.93034318785066716</v>
      </c>
      <c r="DI81" s="9">
        <f t="shared" ref="DI81:DI135" si="197">LOOKUP(DH81,G$16:H$38,D$16:D$38)</f>
        <v>8</v>
      </c>
      <c r="DJ81" s="38">
        <f>AVERAGE(DI$6:DI81)</f>
        <v>5.3939393939393936</v>
      </c>
      <c r="DK81" s="32"/>
      <c r="DL81" s="9"/>
      <c r="DM81" s="32"/>
      <c r="DN81" s="9">
        <v>66</v>
      </c>
      <c r="DO81" s="7">
        <v>0.8279574750631582</v>
      </c>
      <c r="DP81" s="9">
        <f t="shared" ref="DP81:DP135" si="198">LOOKUP(DO81,G$16:H$38,D$16:D$38)</f>
        <v>7</v>
      </c>
      <c r="DQ81" s="38">
        <f>AVERAGE(DP$6:DP81)</f>
        <v>5.2575757575757578</v>
      </c>
      <c r="DR81" s="32"/>
      <c r="DS81" s="9"/>
      <c r="DT81" s="32"/>
      <c r="DU81" s="9">
        <v>66</v>
      </c>
      <c r="DV81" s="7">
        <v>0.26350502052810043</v>
      </c>
      <c r="DW81" s="9">
        <f t="shared" ref="DW81:DW135" si="199">LOOKUP(DV81,G$16:H$38,D$16:D$38)</f>
        <v>3</v>
      </c>
      <c r="DX81" s="38">
        <f>AVERAGE(DW$6:DW81)</f>
        <v>4.9393939393939394</v>
      </c>
      <c r="DY81" s="32"/>
      <c r="DZ81" s="9"/>
      <c r="EA81" s="32"/>
      <c r="EB81" s="9">
        <v>66</v>
      </c>
      <c r="EC81" s="7">
        <v>0.25393649472971447</v>
      </c>
      <c r="ED81" s="9">
        <f t="shared" ref="ED81:ED135" si="200">LOOKUP(EC81,G$16:H$38,D$16:D$38)</f>
        <v>3</v>
      </c>
      <c r="EE81" s="38">
        <f>AVERAGE(ED$6:ED81)</f>
        <v>4.6212121212121211</v>
      </c>
      <c r="EF81" s="32"/>
      <c r="EG81" s="9"/>
      <c r="EH81" s="32"/>
      <c r="EI81" s="9">
        <v>66</v>
      </c>
      <c r="EJ81" s="7">
        <v>0.89894966559950262</v>
      </c>
      <c r="EK81" s="9">
        <f t="shared" ref="EK81:EK135" si="201">LOOKUP(EJ81,G$16:H$38,D$16:D$38)</f>
        <v>8</v>
      </c>
      <c r="EL81" s="38">
        <f>AVERAGE(EK$6:EK81)</f>
        <v>4.666666666666667</v>
      </c>
      <c r="EM81" s="32"/>
      <c r="EN81" s="9"/>
      <c r="EO81" s="32"/>
      <c r="EP81" s="9">
        <v>66</v>
      </c>
      <c r="EQ81" s="7">
        <v>0.82291596118011512</v>
      </c>
      <c r="ER81" s="9">
        <f t="shared" ref="ER81:ER135" si="202">LOOKUP(EQ81,G$16:H$38,D$16:D$38)</f>
        <v>7</v>
      </c>
      <c r="ES81" s="38">
        <f>AVERAGE(ER$6:ER81)</f>
        <v>4.833333333333333</v>
      </c>
      <c r="ET81" s="32"/>
    </row>
    <row r="82" spans="5:150" x14ac:dyDescent="0.25">
      <c r="E82" s="7"/>
      <c r="L82" s="32"/>
      <c r="M82" s="9">
        <v>67</v>
      </c>
      <c r="N82" s="7">
        <v>0.82048256602138281</v>
      </c>
      <c r="O82" s="9">
        <f t="shared" ref="O82:O135" si="203">LOOKUP(N82,G$6:H$28,D$6:D$28)</f>
        <v>7</v>
      </c>
      <c r="P82" s="38">
        <f>AVERAGE(O$6:O82)</f>
        <v>4.8507462686567164</v>
      </c>
      <c r="Q82" s="32"/>
      <c r="R82" s="9"/>
      <c r="S82" s="32"/>
      <c r="T82" s="9">
        <v>67</v>
      </c>
      <c r="U82" s="7">
        <v>0.66043500596424565</v>
      </c>
      <c r="V82" s="9">
        <f t="shared" si="184"/>
        <v>6</v>
      </c>
      <c r="W82" s="38">
        <f>AVERAGE(V$6:V82)</f>
        <v>4.4925373134328357</v>
      </c>
      <c r="X82" s="32"/>
      <c r="Y82" s="9"/>
      <c r="Z82" s="32"/>
      <c r="AA82" s="9">
        <v>67</v>
      </c>
      <c r="AB82" s="7">
        <v>0.80138029309455305</v>
      </c>
      <c r="AC82" s="9">
        <f t="shared" si="185"/>
        <v>7</v>
      </c>
      <c r="AD82" s="38">
        <f>AVERAGE(AC$6:AC82)</f>
        <v>4.91044776119403</v>
      </c>
      <c r="AE82" s="32"/>
      <c r="AF82" s="9"/>
      <c r="AG82" s="32"/>
      <c r="AH82" s="9">
        <v>67</v>
      </c>
      <c r="AI82" s="7">
        <v>9.1897099569905549E-2</v>
      </c>
      <c r="AJ82" s="9">
        <f t="shared" si="186"/>
        <v>2</v>
      </c>
      <c r="AK82" s="38">
        <f>AVERAGE(AJ$6:AJ82)</f>
        <v>4.9253731343283578</v>
      </c>
      <c r="AL82" s="32"/>
      <c r="AM82" s="9"/>
      <c r="AN82" s="32"/>
      <c r="AO82" s="9">
        <v>67</v>
      </c>
      <c r="AP82" s="7">
        <v>0.95801133173517883</v>
      </c>
      <c r="AQ82" s="9">
        <f t="shared" si="187"/>
        <v>9</v>
      </c>
      <c r="AR82" s="38">
        <f>AVERAGE(AQ$6:AQ82)</f>
        <v>5.3283582089552235</v>
      </c>
      <c r="AS82" s="32"/>
      <c r="AT82" s="9"/>
      <c r="AU82" s="32"/>
      <c r="AV82" s="9">
        <v>67</v>
      </c>
      <c r="AW82" s="7">
        <v>0.18937151093268767</v>
      </c>
      <c r="AX82" s="9">
        <f t="shared" si="188"/>
        <v>3</v>
      </c>
      <c r="AY82" s="38">
        <f>AVERAGE(AX$6:AX82)</f>
        <v>4.8656716417910451</v>
      </c>
      <c r="AZ82" s="32"/>
      <c r="BA82" s="9"/>
      <c r="BB82" s="32"/>
      <c r="BC82" s="9">
        <v>67</v>
      </c>
      <c r="BD82" s="7">
        <v>0.5172528876864817</v>
      </c>
      <c r="BE82" s="9">
        <f t="shared" si="189"/>
        <v>5</v>
      </c>
      <c r="BF82" s="38">
        <f>AVERAGE(BE$6:BE82)</f>
        <v>4.8805970149253728</v>
      </c>
      <c r="BG82" s="32"/>
      <c r="BH82" s="9"/>
      <c r="BI82" s="32"/>
      <c r="BJ82" s="9">
        <v>67</v>
      </c>
      <c r="BK82" s="7">
        <v>0.61730384489055723</v>
      </c>
      <c r="BL82" s="9">
        <f t="shared" si="190"/>
        <v>6</v>
      </c>
      <c r="BM82" s="38">
        <f>AVERAGE(BL$6:BL82)</f>
        <v>5.3731343283582094</v>
      </c>
      <c r="BN82" s="32"/>
      <c r="BO82" s="9"/>
      <c r="BP82" s="32"/>
      <c r="BQ82" s="9">
        <v>67</v>
      </c>
      <c r="BR82" s="7">
        <v>0.90081775118596852</v>
      </c>
      <c r="BS82" s="9">
        <f t="shared" si="191"/>
        <v>8</v>
      </c>
      <c r="BT82" s="38">
        <f>AVERAGE(BS$6:BS82)</f>
        <v>4.9850746268656714</v>
      </c>
      <c r="BU82" s="32"/>
      <c r="BV82" s="9"/>
      <c r="BW82" s="32"/>
      <c r="BX82" s="9">
        <v>67</v>
      </c>
      <c r="BY82" s="7">
        <v>0.74911332776537165</v>
      </c>
      <c r="BZ82" s="9">
        <f t="shared" si="192"/>
        <v>6</v>
      </c>
      <c r="CA82" s="38">
        <f>AVERAGE(BZ$6:BZ82)</f>
        <v>4.8955223880597014</v>
      </c>
      <c r="CB82" s="32"/>
      <c r="CC82" s="9"/>
      <c r="CD82" s="32"/>
      <c r="CE82" s="9">
        <v>67</v>
      </c>
      <c r="CF82" s="7">
        <v>0.30392852937802672</v>
      </c>
      <c r="CG82" s="9">
        <f t="shared" si="193"/>
        <v>4</v>
      </c>
      <c r="CH82" s="38">
        <f>AVERAGE(CG$6:CG82)</f>
        <v>4.8507462686567164</v>
      </c>
      <c r="CI82" s="32"/>
      <c r="CJ82" s="9"/>
      <c r="CK82" s="32"/>
      <c r="CL82" s="9">
        <v>67</v>
      </c>
      <c r="CM82" s="7">
        <v>0.21093709146953188</v>
      </c>
      <c r="CN82" s="9">
        <f t="shared" si="194"/>
        <v>3</v>
      </c>
      <c r="CO82" s="38">
        <f>AVERAGE(CN$6:CN82)</f>
        <v>4.5373134328358207</v>
      </c>
      <c r="CP82" s="32"/>
      <c r="CQ82" s="9"/>
      <c r="CR82" s="32"/>
      <c r="CS82" s="9">
        <v>67</v>
      </c>
      <c r="CT82" s="7">
        <v>0.45271669226349331</v>
      </c>
      <c r="CU82" s="9">
        <f t="shared" si="195"/>
        <v>5</v>
      </c>
      <c r="CV82" s="38">
        <f>AVERAGE(CU$6:CU82)</f>
        <v>5.1044776119402986</v>
      </c>
      <c r="CW82" s="32"/>
      <c r="CX82" s="9"/>
      <c r="CY82" s="32"/>
      <c r="CZ82" s="9">
        <v>67</v>
      </c>
      <c r="DA82" s="7">
        <v>0.49277104661450721</v>
      </c>
      <c r="DB82" s="9">
        <f t="shared" si="196"/>
        <v>5</v>
      </c>
      <c r="DC82" s="38">
        <f>AVERAGE(DB$6:DB82)</f>
        <v>4.955223880597015</v>
      </c>
      <c r="DD82" s="32"/>
      <c r="DE82" s="9"/>
      <c r="DF82" s="32"/>
      <c r="DG82" s="9">
        <v>67</v>
      </c>
      <c r="DH82" s="7">
        <v>0.12674174312269315</v>
      </c>
      <c r="DI82" s="9">
        <f t="shared" si="197"/>
        <v>3</v>
      </c>
      <c r="DJ82" s="38">
        <f>AVERAGE(DI$6:DI82)</f>
        <v>5.3582089552238807</v>
      </c>
      <c r="DK82" s="32"/>
      <c r="DL82" s="9"/>
      <c r="DM82" s="32"/>
      <c r="DN82" s="9">
        <v>67</v>
      </c>
      <c r="DO82" s="7">
        <v>0.39809965755557641</v>
      </c>
      <c r="DP82" s="9">
        <f t="shared" si="198"/>
        <v>4</v>
      </c>
      <c r="DQ82" s="38">
        <f>AVERAGE(DP$6:DP82)</f>
        <v>5.2388059701492535</v>
      </c>
      <c r="DR82" s="32"/>
      <c r="DS82" s="9"/>
      <c r="DT82" s="32"/>
      <c r="DU82" s="9">
        <v>67</v>
      </c>
      <c r="DV82" s="7">
        <v>0.70508557200082578</v>
      </c>
      <c r="DW82" s="9">
        <f t="shared" si="199"/>
        <v>6</v>
      </c>
      <c r="DX82" s="38">
        <f>AVERAGE(DW$6:DW82)</f>
        <v>4.955223880597015</v>
      </c>
      <c r="DY82" s="32"/>
      <c r="DZ82" s="9"/>
      <c r="EA82" s="32"/>
      <c r="EB82" s="9">
        <v>67</v>
      </c>
      <c r="EC82" s="7">
        <v>0.77729478583205491</v>
      </c>
      <c r="ED82" s="9">
        <f t="shared" si="200"/>
        <v>7</v>
      </c>
      <c r="EE82" s="38">
        <f>AVERAGE(ED$6:ED82)</f>
        <v>4.6567164179104479</v>
      </c>
      <c r="EF82" s="32"/>
      <c r="EG82" s="9"/>
      <c r="EH82" s="32"/>
      <c r="EI82" s="9">
        <v>67</v>
      </c>
      <c r="EJ82" s="7">
        <v>0.95907778377295472</v>
      </c>
      <c r="EK82" s="9">
        <f t="shared" si="201"/>
        <v>9</v>
      </c>
      <c r="EL82" s="38">
        <f>AVERAGE(EK$6:EK82)</f>
        <v>4.7313432835820892</v>
      </c>
      <c r="EM82" s="32"/>
      <c r="EN82" s="9"/>
      <c r="EO82" s="32"/>
      <c r="EP82" s="9">
        <v>67</v>
      </c>
      <c r="EQ82" s="7">
        <v>0.80172000778838992</v>
      </c>
      <c r="ER82" s="9">
        <f t="shared" si="202"/>
        <v>7</v>
      </c>
      <c r="ES82" s="38">
        <f>AVERAGE(ER$6:ER82)</f>
        <v>4.8656716417910451</v>
      </c>
      <c r="ET82" s="32"/>
    </row>
    <row r="83" spans="5:150" x14ac:dyDescent="0.25">
      <c r="E83" s="7"/>
      <c r="L83" s="32"/>
      <c r="M83" s="9">
        <v>68</v>
      </c>
      <c r="N83" s="7">
        <v>0.5485215010412503</v>
      </c>
      <c r="O83" s="9">
        <f t="shared" si="203"/>
        <v>5</v>
      </c>
      <c r="P83" s="38">
        <f>AVERAGE(O$6:O83)</f>
        <v>4.8529411764705879</v>
      </c>
      <c r="Q83" s="32"/>
      <c r="R83" s="9"/>
      <c r="S83" s="32"/>
      <c r="T83" s="9">
        <v>68</v>
      </c>
      <c r="U83" s="7">
        <v>0.12402807161561213</v>
      </c>
      <c r="V83" s="9">
        <f t="shared" si="184"/>
        <v>2</v>
      </c>
      <c r="W83" s="38">
        <f>AVERAGE(V$6:V83)</f>
        <v>4.4558823529411766</v>
      </c>
      <c r="X83" s="32"/>
      <c r="Y83" s="9"/>
      <c r="Z83" s="32"/>
      <c r="AA83" s="9">
        <v>68</v>
      </c>
      <c r="AB83" s="7">
        <v>0.71085094372392632</v>
      </c>
      <c r="AC83" s="9">
        <f t="shared" si="185"/>
        <v>6</v>
      </c>
      <c r="AD83" s="38">
        <f>AVERAGE(AC$6:AC83)</f>
        <v>4.9264705882352944</v>
      </c>
      <c r="AE83" s="32"/>
      <c r="AF83" s="9"/>
      <c r="AG83" s="32"/>
      <c r="AH83" s="9">
        <v>68</v>
      </c>
      <c r="AI83" s="7">
        <v>0.32700627853046171</v>
      </c>
      <c r="AJ83" s="9">
        <f t="shared" si="186"/>
        <v>4</v>
      </c>
      <c r="AK83" s="38">
        <f>AVERAGE(AJ$6:AJ83)</f>
        <v>4.9117647058823533</v>
      </c>
      <c r="AL83" s="32"/>
      <c r="AM83" s="9"/>
      <c r="AN83" s="32"/>
      <c r="AO83" s="9">
        <v>68</v>
      </c>
      <c r="AP83" s="7">
        <v>0.37583584364620037</v>
      </c>
      <c r="AQ83" s="9">
        <f t="shared" si="187"/>
        <v>4</v>
      </c>
      <c r="AR83" s="38">
        <f>AVERAGE(AQ$6:AQ83)</f>
        <v>5.3088235294117645</v>
      </c>
      <c r="AS83" s="32"/>
      <c r="AT83" s="9"/>
      <c r="AU83" s="32"/>
      <c r="AV83" s="9">
        <v>68</v>
      </c>
      <c r="AW83" s="7">
        <v>0.52632813036325388</v>
      </c>
      <c r="AX83" s="9">
        <f t="shared" si="188"/>
        <v>5</v>
      </c>
      <c r="AY83" s="38">
        <f>AVERAGE(AX$6:AX83)</f>
        <v>4.867647058823529</v>
      </c>
      <c r="AZ83" s="32"/>
      <c r="BA83" s="9"/>
      <c r="BB83" s="32"/>
      <c r="BC83" s="9">
        <v>68</v>
      </c>
      <c r="BD83" s="7">
        <v>0.38523715856717899</v>
      </c>
      <c r="BE83" s="9">
        <f t="shared" si="189"/>
        <v>4</v>
      </c>
      <c r="BF83" s="38">
        <f>AVERAGE(BE$6:BE83)</f>
        <v>4.867647058823529</v>
      </c>
      <c r="BG83" s="32"/>
      <c r="BH83" s="9"/>
      <c r="BI83" s="32"/>
      <c r="BJ83" s="9">
        <v>68</v>
      </c>
      <c r="BK83" s="7">
        <v>0.91148011866607703</v>
      </c>
      <c r="BL83" s="9">
        <f t="shared" si="190"/>
        <v>8</v>
      </c>
      <c r="BM83" s="38">
        <f>AVERAGE(BL$6:BL83)</f>
        <v>5.4117647058823533</v>
      </c>
      <c r="BN83" s="32"/>
      <c r="BO83" s="9"/>
      <c r="BP83" s="32"/>
      <c r="BQ83" s="9">
        <v>68</v>
      </c>
      <c r="BR83" s="7">
        <v>0.92114186080289073</v>
      </c>
      <c r="BS83" s="9">
        <f t="shared" si="191"/>
        <v>8</v>
      </c>
      <c r="BT83" s="38">
        <f>AVERAGE(BS$6:BS83)</f>
        <v>5.0294117647058822</v>
      </c>
      <c r="BU83" s="32"/>
      <c r="BV83" s="9"/>
      <c r="BW83" s="32"/>
      <c r="BX83" s="9">
        <v>68</v>
      </c>
      <c r="BY83" s="7">
        <v>0.79336379919550382</v>
      </c>
      <c r="BZ83" s="9">
        <f t="shared" si="192"/>
        <v>7</v>
      </c>
      <c r="CA83" s="38">
        <f>AVERAGE(BZ$6:BZ83)</f>
        <v>4.9264705882352944</v>
      </c>
      <c r="CB83" s="32"/>
      <c r="CC83" s="9"/>
      <c r="CD83" s="32"/>
      <c r="CE83" s="9">
        <v>68</v>
      </c>
      <c r="CF83" s="7">
        <v>0.52319262971286662</v>
      </c>
      <c r="CG83" s="9">
        <f t="shared" si="193"/>
        <v>5</v>
      </c>
      <c r="CH83" s="38">
        <f>AVERAGE(CG$6:CG83)</f>
        <v>4.8529411764705879</v>
      </c>
      <c r="CI83" s="32"/>
      <c r="CJ83" s="9"/>
      <c r="CK83" s="32"/>
      <c r="CL83" s="9">
        <v>68</v>
      </c>
      <c r="CM83" s="7">
        <v>0.63260210683802143</v>
      </c>
      <c r="CN83" s="9">
        <f t="shared" si="194"/>
        <v>6</v>
      </c>
      <c r="CO83" s="38">
        <f>AVERAGE(CN$6:CN83)</f>
        <v>4.5588235294117645</v>
      </c>
      <c r="CP83" s="32"/>
      <c r="CQ83" s="9"/>
      <c r="CR83" s="32"/>
      <c r="CS83" s="9">
        <v>68</v>
      </c>
      <c r="CT83" s="7">
        <v>0.14909651572816074</v>
      </c>
      <c r="CU83" s="9">
        <f t="shared" si="195"/>
        <v>3</v>
      </c>
      <c r="CV83" s="38">
        <f>AVERAGE(CU$6:CU83)</f>
        <v>5.0735294117647056</v>
      </c>
      <c r="CW83" s="32"/>
      <c r="CX83" s="9"/>
      <c r="CY83" s="32"/>
      <c r="CZ83" s="9">
        <v>68</v>
      </c>
      <c r="DA83" s="7">
        <v>0.77708900650031865</v>
      </c>
      <c r="DB83" s="9">
        <f t="shared" si="196"/>
        <v>7</v>
      </c>
      <c r="DC83" s="38">
        <f>AVERAGE(DB$6:DB83)</f>
        <v>4.9852941176470589</v>
      </c>
      <c r="DD83" s="32"/>
      <c r="DE83" s="9"/>
      <c r="DF83" s="32"/>
      <c r="DG83" s="9">
        <v>68</v>
      </c>
      <c r="DH83" s="7">
        <v>0.27199770821607672</v>
      </c>
      <c r="DI83" s="9">
        <f t="shared" si="197"/>
        <v>4</v>
      </c>
      <c r="DJ83" s="38">
        <f>AVERAGE(DI$6:DI83)</f>
        <v>5.3382352941176467</v>
      </c>
      <c r="DK83" s="32"/>
      <c r="DL83" s="9"/>
      <c r="DM83" s="32"/>
      <c r="DN83" s="9">
        <v>68</v>
      </c>
      <c r="DO83" s="7">
        <v>2.1323641150956973E-2</v>
      </c>
      <c r="DP83" s="9">
        <f t="shared" si="198"/>
        <v>1</v>
      </c>
      <c r="DQ83" s="38">
        <f>AVERAGE(DP$6:DP83)</f>
        <v>5.1764705882352944</v>
      </c>
      <c r="DR83" s="32"/>
      <c r="DS83" s="9"/>
      <c r="DT83" s="32"/>
      <c r="DU83" s="9">
        <v>68</v>
      </c>
      <c r="DV83" s="7">
        <v>0.11906958045437932</v>
      </c>
      <c r="DW83" s="9">
        <f t="shared" si="199"/>
        <v>2</v>
      </c>
      <c r="DX83" s="38">
        <f>AVERAGE(DW$6:DW83)</f>
        <v>4.9117647058823533</v>
      </c>
      <c r="DY83" s="32"/>
      <c r="DZ83" s="9"/>
      <c r="EA83" s="32"/>
      <c r="EB83" s="9">
        <v>68</v>
      </c>
      <c r="EC83" s="7">
        <v>0.30681470353738405</v>
      </c>
      <c r="ED83" s="9">
        <f t="shared" si="200"/>
        <v>4</v>
      </c>
      <c r="EE83" s="38">
        <f>AVERAGE(ED$6:ED83)</f>
        <v>4.6470588235294121</v>
      </c>
      <c r="EF83" s="32"/>
      <c r="EG83" s="9"/>
      <c r="EH83" s="32"/>
      <c r="EI83" s="9">
        <v>68</v>
      </c>
      <c r="EJ83" s="7">
        <v>0.92505864310078323</v>
      </c>
      <c r="EK83" s="9">
        <f t="shared" si="201"/>
        <v>8</v>
      </c>
      <c r="EL83" s="38">
        <f>AVERAGE(EK$6:EK83)</f>
        <v>4.7794117647058822</v>
      </c>
      <c r="EM83" s="32"/>
      <c r="EN83" s="9"/>
      <c r="EO83" s="32"/>
      <c r="EP83" s="9">
        <v>68</v>
      </c>
      <c r="EQ83" s="7">
        <v>0.88580401104991324</v>
      </c>
      <c r="ER83" s="9">
        <f t="shared" si="202"/>
        <v>8</v>
      </c>
      <c r="ES83" s="38">
        <f>AVERAGE(ER$6:ER83)</f>
        <v>4.9117647058823533</v>
      </c>
      <c r="ET83" s="32"/>
    </row>
    <row r="84" spans="5:150" x14ac:dyDescent="0.25">
      <c r="E84" s="7"/>
      <c r="L84" s="32"/>
      <c r="M84" s="9">
        <v>69</v>
      </c>
      <c r="N84" s="7">
        <v>0.48857303627301008</v>
      </c>
      <c r="O84" s="9">
        <f t="shared" si="203"/>
        <v>5</v>
      </c>
      <c r="P84" s="38">
        <f>AVERAGE(O$6:O84)</f>
        <v>4.8550724637681162</v>
      </c>
      <c r="Q84" s="32"/>
      <c r="R84" s="9"/>
      <c r="S84" s="32"/>
      <c r="T84" s="9">
        <v>69</v>
      </c>
      <c r="U84" s="7">
        <v>0.87445688206935301</v>
      </c>
      <c r="V84" s="9">
        <f t="shared" si="184"/>
        <v>8</v>
      </c>
      <c r="W84" s="38">
        <f>AVERAGE(V$6:V84)</f>
        <v>4.5072463768115938</v>
      </c>
      <c r="X84" s="32"/>
      <c r="Y84" s="9"/>
      <c r="Z84" s="32"/>
      <c r="AA84" s="9">
        <v>69</v>
      </c>
      <c r="AB84" s="7">
        <v>8.8236017851158977E-2</v>
      </c>
      <c r="AC84" s="9">
        <f t="shared" si="185"/>
        <v>2</v>
      </c>
      <c r="AD84" s="38">
        <f>AVERAGE(AC$6:AC84)</f>
        <v>4.8840579710144931</v>
      </c>
      <c r="AE84" s="32"/>
      <c r="AF84" s="9"/>
      <c r="AG84" s="32"/>
      <c r="AH84" s="9">
        <v>69</v>
      </c>
      <c r="AI84" s="7">
        <v>0.40823344321688637</v>
      </c>
      <c r="AJ84" s="9">
        <f t="shared" si="186"/>
        <v>4</v>
      </c>
      <c r="AK84" s="38">
        <f>AVERAGE(AJ$6:AJ84)</f>
        <v>4.8985507246376816</v>
      </c>
      <c r="AL84" s="32"/>
      <c r="AM84" s="9"/>
      <c r="AN84" s="32"/>
      <c r="AO84" s="9">
        <v>69</v>
      </c>
      <c r="AP84" s="7">
        <v>0.55545947782229632</v>
      </c>
      <c r="AQ84" s="9">
        <f t="shared" si="187"/>
        <v>5</v>
      </c>
      <c r="AR84" s="38">
        <f>AVERAGE(AQ$6:AQ84)</f>
        <v>5.3043478260869561</v>
      </c>
      <c r="AS84" s="32"/>
      <c r="AT84" s="9"/>
      <c r="AU84" s="32"/>
      <c r="AV84" s="9">
        <v>69</v>
      </c>
      <c r="AW84" s="7">
        <v>5.8987137104850262E-2</v>
      </c>
      <c r="AX84" s="9">
        <f t="shared" si="188"/>
        <v>2</v>
      </c>
      <c r="AY84" s="38">
        <f>AVERAGE(AX$6:AX84)</f>
        <v>4.8260869565217392</v>
      </c>
      <c r="AZ84" s="32"/>
      <c r="BA84" s="9"/>
      <c r="BB84" s="32"/>
      <c r="BC84" s="9">
        <v>69</v>
      </c>
      <c r="BD84" s="7">
        <v>0.39713666212628596</v>
      </c>
      <c r="BE84" s="9">
        <f t="shared" si="189"/>
        <v>4</v>
      </c>
      <c r="BF84" s="38">
        <f>AVERAGE(BE$6:BE84)</f>
        <v>4.8550724637681162</v>
      </c>
      <c r="BG84" s="32"/>
      <c r="BH84" s="9"/>
      <c r="BI84" s="32"/>
      <c r="BJ84" s="9">
        <v>69</v>
      </c>
      <c r="BK84" s="7">
        <v>0.41226111305877566</v>
      </c>
      <c r="BL84" s="9">
        <f t="shared" si="190"/>
        <v>4</v>
      </c>
      <c r="BM84" s="38">
        <f>AVERAGE(BL$6:BL84)</f>
        <v>5.3913043478260869</v>
      </c>
      <c r="BN84" s="32"/>
      <c r="BO84" s="9"/>
      <c r="BP84" s="32"/>
      <c r="BQ84" s="9">
        <v>69</v>
      </c>
      <c r="BR84" s="7">
        <v>0.38805831351783127</v>
      </c>
      <c r="BS84" s="9">
        <f t="shared" si="191"/>
        <v>4</v>
      </c>
      <c r="BT84" s="38">
        <f>AVERAGE(BS$6:BS84)</f>
        <v>5.0144927536231885</v>
      </c>
      <c r="BU84" s="32"/>
      <c r="BV84" s="9"/>
      <c r="BW84" s="32"/>
      <c r="BX84" s="9">
        <v>69</v>
      </c>
      <c r="BY84" s="7">
        <v>0.58235658571356907</v>
      </c>
      <c r="BZ84" s="9">
        <f t="shared" si="192"/>
        <v>5</v>
      </c>
      <c r="CA84" s="38">
        <f>AVERAGE(BZ$6:BZ84)</f>
        <v>4.9275362318840576</v>
      </c>
      <c r="CB84" s="32"/>
      <c r="CC84" s="9"/>
      <c r="CD84" s="32"/>
      <c r="CE84" s="9">
        <v>69</v>
      </c>
      <c r="CF84" s="7">
        <v>0.44420430215541273</v>
      </c>
      <c r="CG84" s="9">
        <f t="shared" si="193"/>
        <v>5</v>
      </c>
      <c r="CH84" s="38">
        <f>AVERAGE(CG$6:CG84)</f>
        <v>4.8550724637681162</v>
      </c>
      <c r="CI84" s="32"/>
      <c r="CJ84" s="9"/>
      <c r="CK84" s="32"/>
      <c r="CL84" s="9">
        <v>69</v>
      </c>
      <c r="CM84" s="7">
        <v>0.79008502161013894</v>
      </c>
      <c r="CN84" s="9">
        <f t="shared" si="194"/>
        <v>7</v>
      </c>
      <c r="CO84" s="38">
        <f>AVERAGE(CN$6:CN84)</f>
        <v>4.5942028985507246</v>
      </c>
      <c r="CP84" s="32"/>
      <c r="CQ84" s="9"/>
      <c r="CR84" s="32"/>
      <c r="CS84" s="9">
        <v>69</v>
      </c>
      <c r="CT84" s="7">
        <v>0.78470560003188439</v>
      </c>
      <c r="CU84" s="9">
        <f t="shared" si="195"/>
        <v>7</v>
      </c>
      <c r="CV84" s="38">
        <f>AVERAGE(CU$6:CU84)</f>
        <v>5.1014492753623184</v>
      </c>
      <c r="CW84" s="32"/>
      <c r="CX84" s="9"/>
      <c r="CY84" s="32"/>
      <c r="CZ84" s="9">
        <v>69</v>
      </c>
      <c r="DA84" s="7">
        <v>0.20083834769320674</v>
      </c>
      <c r="DB84" s="9">
        <f t="shared" si="196"/>
        <v>3</v>
      </c>
      <c r="DC84" s="38">
        <f>AVERAGE(DB$6:DB84)</f>
        <v>4.9565217391304346</v>
      </c>
      <c r="DD84" s="32"/>
      <c r="DE84" s="9"/>
      <c r="DF84" s="32"/>
      <c r="DG84" s="9">
        <v>69</v>
      </c>
      <c r="DH84" s="7">
        <v>7.8819731308612972E-2</v>
      </c>
      <c r="DI84" s="9">
        <f t="shared" si="197"/>
        <v>2</v>
      </c>
      <c r="DJ84" s="38">
        <f>AVERAGE(DI$6:DI84)</f>
        <v>5.2898550724637685</v>
      </c>
      <c r="DK84" s="32"/>
      <c r="DL84" s="9"/>
      <c r="DM84" s="32"/>
      <c r="DN84" s="9">
        <v>69</v>
      </c>
      <c r="DO84" s="7">
        <v>0.98167519277194515</v>
      </c>
      <c r="DP84" s="9">
        <f t="shared" si="198"/>
        <v>10</v>
      </c>
      <c r="DQ84" s="38">
        <f>AVERAGE(DP$6:DP84)</f>
        <v>5.2463768115942031</v>
      </c>
      <c r="DR84" s="32"/>
      <c r="DS84" s="9"/>
      <c r="DT84" s="32"/>
      <c r="DU84" s="9">
        <v>69</v>
      </c>
      <c r="DV84" s="7">
        <v>0.3208339340344537</v>
      </c>
      <c r="DW84" s="9">
        <f t="shared" si="199"/>
        <v>4</v>
      </c>
      <c r="DX84" s="38">
        <f>AVERAGE(DW$6:DW84)</f>
        <v>4.8985507246376816</v>
      </c>
      <c r="DY84" s="32"/>
      <c r="DZ84" s="9"/>
      <c r="EA84" s="32"/>
      <c r="EB84" s="9">
        <v>69</v>
      </c>
      <c r="EC84" s="7">
        <v>9.5723217818886042E-3</v>
      </c>
      <c r="ED84" s="9">
        <f t="shared" si="200"/>
        <v>1</v>
      </c>
      <c r="EE84" s="38">
        <f>AVERAGE(ED$6:ED84)</f>
        <v>4.5942028985507246</v>
      </c>
      <c r="EF84" s="32"/>
      <c r="EG84" s="9"/>
      <c r="EH84" s="32"/>
      <c r="EI84" s="9">
        <v>69</v>
      </c>
      <c r="EJ84" s="7">
        <v>0.4052011969324667</v>
      </c>
      <c r="EK84" s="9">
        <f t="shared" si="201"/>
        <v>4</v>
      </c>
      <c r="EL84" s="38">
        <f>AVERAGE(EK$6:EK84)</f>
        <v>4.7681159420289854</v>
      </c>
      <c r="EM84" s="32"/>
      <c r="EN84" s="9"/>
      <c r="EO84" s="32"/>
      <c r="EP84" s="9">
        <v>69</v>
      </c>
      <c r="EQ84" s="7">
        <v>0.1890656907344237</v>
      </c>
      <c r="ER84" s="9">
        <f t="shared" si="202"/>
        <v>3</v>
      </c>
      <c r="ES84" s="38">
        <f>AVERAGE(ER$6:ER84)</f>
        <v>4.8840579710144931</v>
      </c>
      <c r="ET84" s="32"/>
    </row>
    <row r="85" spans="5:150" x14ac:dyDescent="0.25">
      <c r="E85" s="7"/>
      <c r="L85" s="32"/>
      <c r="M85" s="9">
        <v>70</v>
      </c>
      <c r="N85" s="7">
        <v>0.6151136806292925</v>
      </c>
      <c r="O85" s="9">
        <f t="shared" si="203"/>
        <v>5</v>
      </c>
      <c r="P85" s="38">
        <f>AVERAGE(O$6:O85)</f>
        <v>4.8571428571428568</v>
      </c>
      <c r="Q85" s="32"/>
      <c r="R85" s="9"/>
      <c r="S85" s="32"/>
      <c r="T85" s="9">
        <v>70</v>
      </c>
      <c r="U85" s="7">
        <v>0.34529426574590616</v>
      </c>
      <c r="V85" s="9">
        <f t="shared" si="184"/>
        <v>4</v>
      </c>
      <c r="W85" s="38">
        <f>AVERAGE(V$6:V85)</f>
        <v>4.5</v>
      </c>
      <c r="X85" s="32"/>
      <c r="Y85" s="9"/>
      <c r="Z85" s="32"/>
      <c r="AA85" s="9">
        <v>70</v>
      </c>
      <c r="AB85" s="7">
        <v>0.44154919337597676</v>
      </c>
      <c r="AC85" s="9">
        <f t="shared" si="185"/>
        <v>5</v>
      </c>
      <c r="AD85" s="38">
        <f>AVERAGE(AC$6:AC85)</f>
        <v>4.8857142857142861</v>
      </c>
      <c r="AE85" s="32"/>
      <c r="AF85" s="9"/>
      <c r="AG85" s="32"/>
      <c r="AH85" s="9">
        <v>70</v>
      </c>
      <c r="AI85" s="7">
        <v>0.24022325672558509</v>
      </c>
      <c r="AJ85" s="9">
        <f t="shared" si="186"/>
        <v>3</v>
      </c>
      <c r="AK85" s="38">
        <f>AVERAGE(AJ$6:AJ85)</f>
        <v>4.871428571428571</v>
      </c>
      <c r="AL85" s="32"/>
      <c r="AM85" s="9"/>
      <c r="AN85" s="32"/>
      <c r="AO85" s="9">
        <v>70</v>
      </c>
      <c r="AP85" s="7">
        <v>6.1631078511709347E-2</v>
      </c>
      <c r="AQ85" s="9">
        <f t="shared" si="187"/>
        <v>2</v>
      </c>
      <c r="AR85" s="38">
        <f>AVERAGE(AQ$6:AQ85)</f>
        <v>5.2571428571428571</v>
      </c>
      <c r="AS85" s="32"/>
      <c r="AT85" s="9"/>
      <c r="AU85" s="32"/>
      <c r="AV85" s="9">
        <v>70</v>
      </c>
      <c r="AW85" s="7">
        <v>0.37837560902698897</v>
      </c>
      <c r="AX85" s="9">
        <f t="shared" si="188"/>
        <v>4</v>
      </c>
      <c r="AY85" s="38">
        <f>AVERAGE(AX$6:AX85)</f>
        <v>4.8142857142857141</v>
      </c>
      <c r="AZ85" s="32"/>
      <c r="BA85" s="9"/>
      <c r="BB85" s="32"/>
      <c r="BC85" s="9">
        <v>70</v>
      </c>
      <c r="BD85" s="7">
        <v>0.52538099506637082</v>
      </c>
      <c r="BE85" s="9">
        <f t="shared" si="189"/>
        <v>5</v>
      </c>
      <c r="BF85" s="38">
        <f>AVERAGE(BE$6:BE85)</f>
        <v>4.8571428571428568</v>
      </c>
      <c r="BG85" s="32"/>
      <c r="BH85" s="9"/>
      <c r="BI85" s="32"/>
      <c r="BJ85" s="9">
        <v>70</v>
      </c>
      <c r="BK85" s="7">
        <v>0.31447322529857047</v>
      </c>
      <c r="BL85" s="9">
        <f t="shared" si="190"/>
        <v>4</v>
      </c>
      <c r="BM85" s="38">
        <f>AVERAGE(BL$6:BL85)</f>
        <v>5.371428571428571</v>
      </c>
      <c r="BN85" s="32"/>
      <c r="BO85" s="9"/>
      <c r="BP85" s="32"/>
      <c r="BQ85" s="9">
        <v>70</v>
      </c>
      <c r="BR85" s="7">
        <v>0.85003146171220578</v>
      </c>
      <c r="BS85" s="9">
        <f t="shared" si="191"/>
        <v>7</v>
      </c>
      <c r="BT85" s="38">
        <f>AVERAGE(BS$6:BS85)</f>
        <v>5.0428571428571427</v>
      </c>
      <c r="BU85" s="32"/>
      <c r="BV85" s="9"/>
      <c r="BW85" s="32"/>
      <c r="BX85" s="9">
        <v>70</v>
      </c>
      <c r="BY85" s="7">
        <v>0.91364164251717739</v>
      </c>
      <c r="BZ85" s="9">
        <f t="shared" si="192"/>
        <v>8</v>
      </c>
      <c r="CA85" s="38">
        <f>AVERAGE(BZ$6:BZ85)</f>
        <v>4.9714285714285715</v>
      </c>
      <c r="CB85" s="32"/>
      <c r="CC85" s="9"/>
      <c r="CD85" s="32"/>
      <c r="CE85" s="9">
        <v>70</v>
      </c>
      <c r="CF85" s="7">
        <v>0.76521561006666161</v>
      </c>
      <c r="CG85" s="9">
        <f t="shared" si="193"/>
        <v>7</v>
      </c>
      <c r="CH85" s="38">
        <f>AVERAGE(CG$6:CG85)</f>
        <v>4.8857142857142861</v>
      </c>
      <c r="CI85" s="32"/>
      <c r="CJ85" s="9"/>
      <c r="CK85" s="32"/>
      <c r="CL85" s="9">
        <v>70</v>
      </c>
      <c r="CM85" s="7">
        <v>0.89378612925065681</v>
      </c>
      <c r="CN85" s="9">
        <f t="shared" si="194"/>
        <v>8</v>
      </c>
      <c r="CO85" s="38">
        <f>AVERAGE(CN$6:CN85)</f>
        <v>4.6428571428571432</v>
      </c>
      <c r="CP85" s="32"/>
      <c r="CQ85" s="9"/>
      <c r="CR85" s="32"/>
      <c r="CS85" s="9">
        <v>70</v>
      </c>
      <c r="CT85" s="7">
        <v>0.12338401644956321</v>
      </c>
      <c r="CU85" s="9">
        <f t="shared" si="195"/>
        <v>2</v>
      </c>
      <c r="CV85" s="38">
        <f>AVERAGE(CU$6:CU85)</f>
        <v>5.0571428571428569</v>
      </c>
      <c r="CW85" s="32"/>
      <c r="CX85" s="9"/>
      <c r="CY85" s="32"/>
      <c r="CZ85" s="9">
        <v>70</v>
      </c>
      <c r="DA85" s="7">
        <v>0.43174906203057617</v>
      </c>
      <c r="DB85" s="9">
        <f t="shared" si="196"/>
        <v>4</v>
      </c>
      <c r="DC85" s="38">
        <f>AVERAGE(DB$6:DB85)</f>
        <v>4.9428571428571431</v>
      </c>
      <c r="DD85" s="32"/>
      <c r="DE85" s="9"/>
      <c r="DF85" s="32"/>
      <c r="DG85" s="9">
        <v>70</v>
      </c>
      <c r="DH85" s="7">
        <v>0.59216162396478467</v>
      </c>
      <c r="DI85" s="9">
        <f t="shared" si="197"/>
        <v>5</v>
      </c>
      <c r="DJ85" s="38">
        <f>AVERAGE(DI$6:DI85)</f>
        <v>5.2857142857142856</v>
      </c>
      <c r="DK85" s="32"/>
      <c r="DL85" s="9"/>
      <c r="DM85" s="32"/>
      <c r="DN85" s="9">
        <v>70</v>
      </c>
      <c r="DO85" s="7">
        <v>0.56272427758085541</v>
      </c>
      <c r="DP85" s="9">
        <f t="shared" si="198"/>
        <v>5</v>
      </c>
      <c r="DQ85" s="38">
        <f>AVERAGE(DP$6:DP85)</f>
        <v>5.2428571428571429</v>
      </c>
      <c r="DR85" s="32"/>
      <c r="DS85" s="9"/>
      <c r="DT85" s="32"/>
      <c r="DU85" s="9">
        <v>70</v>
      </c>
      <c r="DV85" s="7">
        <v>0.22947602777276188</v>
      </c>
      <c r="DW85" s="9">
        <f t="shared" si="199"/>
        <v>3</v>
      </c>
      <c r="DX85" s="38">
        <f>AVERAGE(DW$6:DW85)</f>
        <v>4.871428571428571</v>
      </c>
      <c r="DY85" s="32"/>
      <c r="DZ85" s="9"/>
      <c r="EA85" s="32"/>
      <c r="EB85" s="9">
        <v>70</v>
      </c>
      <c r="EC85" s="7">
        <v>0.92974571770173497</v>
      </c>
      <c r="ED85" s="9">
        <f t="shared" si="200"/>
        <v>8</v>
      </c>
      <c r="EE85" s="38">
        <f>AVERAGE(ED$6:ED85)</f>
        <v>4.6428571428571432</v>
      </c>
      <c r="EF85" s="32"/>
      <c r="EG85" s="9"/>
      <c r="EH85" s="32"/>
      <c r="EI85" s="9">
        <v>70</v>
      </c>
      <c r="EJ85" s="7">
        <v>0.67861642024945468</v>
      </c>
      <c r="EK85" s="9">
        <f t="shared" si="201"/>
        <v>6</v>
      </c>
      <c r="EL85" s="38">
        <f>AVERAGE(EK$6:EK85)</f>
        <v>4.7857142857142856</v>
      </c>
      <c r="EM85" s="32"/>
      <c r="EN85" s="9"/>
      <c r="EO85" s="32"/>
      <c r="EP85" s="9">
        <v>70</v>
      </c>
      <c r="EQ85" s="7">
        <v>0.36883072825730778</v>
      </c>
      <c r="ER85" s="9">
        <f t="shared" si="202"/>
        <v>4</v>
      </c>
      <c r="ES85" s="38">
        <f>AVERAGE(ER$6:ER85)</f>
        <v>4.871428571428571</v>
      </c>
      <c r="ET85" s="32"/>
    </row>
    <row r="86" spans="5:150" x14ac:dyDescent="0.25">
      <c r="E86" s="7"/>
      <c r="L86" s="32"/>
      <c r="M86" s="9">
        <v>71</v>
      </c>
      <c r="N86" s="7">
        <v>0.78354552411474288</v>
      </c>
      <c r="O86" s="9">
        <f t="shared" si="203"/>
        <v>7</v>
      </c>
      <c r="P86" s="38">
        <f>AVERAGE(O$6:O86)</f>
        <v>4.887323943661972</v>
      </c>
      <c r="Q86" s="32"/>
      <c r="R86" s="9"/>
      <c r="S86" s="32"/>
      <c r="T86" s="9">
        <v>71</v>
      </c>
      <c r="U86" s="7">
        <v>0.82654685917077586</v>
      </c>
      <c r="V86" s="9">
        <f t="shared" si="184"/>
        <v>7</v>
      </c>
      <c r="W86" s="38">
        <f>AVERAGE(V$6:V86)</f>
        <v>4.535211267605634</v>
      </c>
      <c r="X86" s="32"/>
      <c r="Y86" s="9"/>
      <c r="Z86" s="32"/>
      <c r="AA86" s="9">
        <v>71</v>
      </c>
      <c r="AB86" s="7">
        <v>0.39783458865713328</v>
      </c>
      <c r="AC86" s="9">
        <f t="shared" si="185"/>
        <v>4</v>
      </c>
      <c r="AD86" s="38">
        <f>AVERAGE(AC$6:AC86)</f>
        <v>4.873239436619718</v>
      </c>
      <c r="AE86" s="32"/>
      <c r="AF86" s="9"/>
      <c r="AG86" s="32"/>
      <c r="AH86" s="9">
        <v>71</v>
      </c>
      <c r="AI86" s="7">
        <v>0.71497721370542422</v>
      </c>
      <c r="AJ86" s="9">
        <f t="shared" si="186"/>
        <v>6</v>
      </c>
      <c r="AK86" s="38">
        <f>AVERAGE(AJ$6:AJ86)</f>
        <v>4.887323943661972</v>
      </c>
      <c r="AL86" s="32"/>
      <c r="AM86" s="9"/>
      <c r="AN86" s="32"/>
      <c r="AO86" s="9">
        <v>71</v>
      </c>
      <c r="AP86" s="7">
        <v>0.74000543355941772</v>
      </c>
      <c r="AQ86" s="9">
        <f t="shared" si="187"/>
        <v>6</v>
      </c>
      <c r="AR86" s="38">
        <f>AVERAGE(AQ$6:AQ86)</f>
        <v>5.267605633802817</v>
      </c>
      <c r="AS86" s="32"/>
      <c r="AT86" s="9"/>
      <c r="AU86" s="32"/>
      <c r="AV86" s="9">
        <v>71</v>
      </c>
      <c r="AW86" s="7">
        <v>0.86343864892842248</v>
      </c>
      <c r="AX86" s="9">
        <f t="shared" si="188"/>
        <v>7</v>
      </c>
      <c r="AY86" s="38">
        <f>AVERAGE(AX$6:AX86)</f>
        <v>4.845070422535211</v>
      </c>
      <c r="AZ86" s="32"/>
      <c r="BA86" s="9"/>
      <c r="BB86" s="32"/>
      <c r="BC86" s="9">
        <v>71</v>
      </c>
      <c r="BD86" s="7">
        <v>0.57121245921007358</v>
      </c>
      <c r="BE86" s="9">
        <f t="shared" si="189"/>
        <v>5</v>
      </c>
      <c r="BF86" s="38">
        <f>AVERAGE(BE$6:BE86)</f>
        <v>4.859154929577465</v>
      </c>
      <c r="BG86" s="32"/>
      <c r="BH86" s="9"/>
      <c r="BI86" s="32"/>
      <c r="BJ86" s="9">
        <v>71</v>
      </c>
      <c r="BK86" s="7">
        <v>0.95371102879289538</v>
      </c>
      <c r="BL86" s="9">
        <f t="shared" si="190"/>
        <v>9</v>
      </c>
      <c r="BM86" s="38">
        <f>AVERAGE(BL$6:BL86)</f>
        <v>5.422535211267606</v>
      </c>
      <c r="BN86" s="32"/>
      <c r="BO86" s="9"/>
      <c r="BP86" s="32"/>
      <c r="BQ86" s="9">
        <v>71</v>
      </c>
      <c r="BR86" s="7">
        <v>0.76620278181508183</v>
      </c>
      <c r="BS86" s="9">
        <f t="shared" si="191"/>
        <v>7</v>
      </c>
      <c r="BT86" s="38">
        <f>AVERAGE(BS$6:BS86)</f>
        <v>5.070422535211268</v>
      </c>
      <c r="BU86" s="32"/>
      <c r="BV86" s="9"/>
      <c r="BW86" s="32"/>
      <c r="BX86" s="9">
        <v>71</v>
      </c>
      <c r="BY86" s="7">
        <v>0.52544589637545869</v>
      </c>
      <c r="BZ86" s="9">
        <f t="shared" si="192"/>
        <v>5</v>
      </c>
      <c r="CA86" s="38">
        <f>AVERAGE(BZ$6:BZ86)</f>
        <v>4.971830985915493</v>
      </c>
      <c r="CB86" s="32"/>
      <c r="CC86" s="9"/>
      <c r="CD86" s="32"/>
      <c r="CE86" s="9">
        <v>71</v>
      </c>
      <c r="CF86" s="7">
        <v>8.6039184359833598E-2</v>
      </c>
      <c r="CG86" s="9">
        <f t="shared" si="193"/>
        <v>2</v>
      </c>
      <c r="CH86" s="38">
        <f>AVERAGE(CG$6:CG86)</f>
        <v>4.845070422535211</v>
      </c>
      <c r="CI86" s="32"/>
      <c r="CJ86" s="9"/>
      <c r="CK86" s="32"/>
      <c r="CL86" s="9">
        <v>71</v>
      </c>
      <c r="CM86" s="7">
        <v>0.29985656411736272</v>
      </c>
      <c r="CN86" s="9">
        <f t="shared" si="194"/>
        <v>4</v>
      </c>
      <c r="CO86" s="38">
        <f>AVERAGE(CN$6:CN86)</f>
        <v>4.6338028169014081</v>
      </c>
      <c r="CP86" s="32"/>
      <c r="CQ86" s="9"/>
      <c r="CR86" s="32"/>
      <c r="CS86" s="9">
        <v>71</v>
      </c>
      <c r="CT86" s="7">
        <v>0.54276847155415453</v>
      </c>
      <c r="CU86" s="9">
        <f t="shared" si="195"/>
        <v>5</v>
      </c>
      <c r="CV86" s="38">
        <f>AVERAGE(CU$6:CU86)</f>
        <v>5.056338028169014</v>
      </c>
      <c r="CW86" s="32"/>
      <c r="CX86" s="9"/>
      <c r="CY86" s="32"/>
      <c r="CZ86" s="9">
        <v>71</v>
      </c>
      <c r="DA86" s="7">
        <v>0.35076694577583112</v>
      </c>
      <c r="DB86" s="9">
        <f t="shared" si="196"/>
        <v>4</v>
      </c>
      <c r="DC86" s="38">
        <f>AVERAGE(DB$6:DB86)</f>
        <v>4.929577464788732</v>
      </c>
      <c r="DD86" s="32"/>
      <c r="DE86" s="9"/>
      <c r="DF86" s="32"/>
      <c r="DG86" s="9">
        <v>71</v>
      </c>
      <c r="DH86" s="7">
        <v>0.96323634189320728</v>
      </c>
      <c r="DI86" s="9">
        <f t="shared" si="197"/>
        <v>9</v>
      </c>
      <c r="DJ86" s="38">
        <f>AVERAGE(DI$6:DI86)</f>
        <v>5.3380281690140849</v>
      </c>
      <c r="DK86" s="32"/>
      <c r="DL86" s="9"/>
      <c r="DM86" s="32"/>
      <c r="DN86" s="9">
        <v>71</v>
      </c>
      <c r="DO86" s="7">
        <v>0.80300295416964218</v>
      </c>
      <c r="DP86" s="9">
        <f t="shared" si="198"/>
        <v>7</v>
      </c>
      <c r="DQ86" s="38">
        <f>AVERAGE(DP$6:DP86)</f>
        <v>5.267605633802817</v>
      </c>
      <c r="DR86" s="32"/>
      <c r="DS86" s="9"/>
      <c r="DT86" s="32"/>
      <c r="DU86" s="9">
        <v>71</v>
      </c>
      <c r="DV86" s="7">
        <v>0.18015430300147273</v>
      </c>
      <c r="DW86" s="9">
        <f t="shared" si="199"/>
        <v>3</v>
      </c>
      <c r="DX86" s="38">
        <f>AVERAGE(DW$6:DW86)</f>
        <v>4.845070422535211</v>
      </c>
      <c r="DY86" s="32"/>
      <c r="DZ86" s="9"/>
      <c r="EA86" s="32"/>
      <c r="EB86" s="9">
        <v>71</v>
      </c>
      <c r="EC86" s="7">
        <v>0.81904461642261595</v>
      </c>
      <c r="ED86" s="9">
        <f t="shared" si="200"/>
        <v>7</v>
      </c>
      <c r="EE86" s="38">
        <f>AVERAGE(ED$6:ED86)</f>
        <v>4.676056338028169</v>
      </c>
      <c r="EF86" s="32"/>
      <c r="EG86" s="9"/>
      <c r="EH86" s="32"/>
      <c r="EI86" s="9">
        <v>71</v>
      </c>
      <c r="EJ86" s="7">
        <v>0.48745642849826254</v>
      </c>
      <c r="EK86" s="9">
        <f t="shared" si="201"/>
        <v>5</v>
      </c>
      <c r="EL86" s="38">
        <f>AVERAGE(EK$6:EK86)</f>
        <v>4.788732394366197</v>
      </c>
      <c r="EM86" s="32"/>
      <c r="EN86" s="9"/>
      <c r="EO86" s="32"/>
      <c r="EP86" s="9">
        <v>71</v>
      </c>
      <c r="EQ86" s="7">
        <v>0.94782505254261196</v>
      </c>
      <c r="ER86" s="9">
        <f t="shared" si="202"/>
        <v>9</v>
      </c>
      <c r="ES86" s="38">
        <f>AVERAGE(ER$6:ER86)</f>
        <v>4.929577464788732</v>
      </c>
      <c r="ET86" s="32"/>
    </row>
    <row r="87" spans="5:150" x14ac:dyDescent="0.25">
      <c r="E87" s="7"/>
      <c r="L87" s="32"/>
      <c r="M87" s="9">
        <v>72</v>
      </c>
      <c r="N87" s="7">
        <v>0.52594491912168451</v>
      </c>
      <c r="O87" s="9">
        <f t="shared" si="203"/>
        <v>5</v>
      </c>
      <c r="P87" s="38">
        <f>AVERAGE(O$6:O87)</f>
        <v>4.8888888888888893</v>
      </c>
      <c r="Q87" s="32"/>
      <c r="R87" s="9"/>
      <c r="S87" s="32"/>
      <c r="T87" s="9">
        <v>72</v>
      </c>
      <c r="U87" s="7">
        <v>0.67163247297867201</v>
      </c>
      <c r="V87" s="9">
        <f t="shared" si="184"/>
        <v>6</v>
      </c>
      <c r="W87" s="38">
        <f>AVERAGE(V$6:V87)</f>
        <v>4.5555555555555554</v>
      </c>
      <c r="X87" s="32"/>
      <c r="Y87" s="9"/>
      <c r="Z87" s="32"/>
      <c r="AA87" s="9">
        <v>72</v>
      </c>
      <c r="AB87" s="7">
        <v>0.88481315845274366</v>
      </c>
      <c r="AC87" s="9">
        <f t="shared" si="185"/>
        <v>8</v>
      </c>
      <c r="AD87" s="38">
        <f>AVERAGE(AC$6:AC87)</f>
        <v>4.916666666666667</v>
      </c>
      <c r="AE87" s="32"/>
      <c r="AF87" s="9"/>
      <c r="AG87" s="32"/>
      <c r="AH87" s="9">
        <v>72</v>
      </c>
      <c r="AI87" s="7">
        <v>0.21326505832257681</v>
      </c>
      <c r="AJ87" s="9">
        <f t="shared" si="186"/>
        <v>3</v>
      </c>
      <c r="AK87" s="38">
        <f>AVERAGE(AJ$6:AJ87)</f>
        <v>4.8611111111111107</v>
      </c>
      <c r="AL87" s="32"/>
      <c r="AM87" s="9"/>
      <c r="AN87" s="32"/>
      <c r="AO87" s="9">
        <v>72</v>
      </c>
      <c r="AP87" s="7">
        <v>0.102798283129232</v>
      </c>
      <c r="AQ87" s="9">
        <f t="shared" si="187"/>
        <v>2</v>
      </c>
      <c r="AR87" s="38">
        <f>AVERAGE(AQ$6:AQ87)</f>
        <v>5.2222222222222223</v>
      </c>
      <c r="AS87" s="32"/>
      <c r="AT87" s="9"/>
      <c r="AU87" s="32"/>
      <c r="AV87" s="9">
        <v>72</v>
      </c>
      <c r="AW87" s="7">
        <v>0.67090419816668145</v>
      </c>
      <c r="AX87" s="9">
        <f t="shared" si="188"/>
        <v>6</v>
      </c>
      <c r="AY87" s="38">
        <f>AVERAGE(AX$6:AX87)</f>
        <v>4.8611111111111107</v>
      </c>
      <c r="AZ87" s="32"/>
      <c r="BA87" s="9"/>
      <c r="BB87" s="32"/>
      <c r="BC87" s="9">
        <v>72</v>
      </c>
      <c r="BD87" s="7">
        <v>0.17441649321699515</v>
      </c>
      <c r="BE87" s="9">
        <f t="shared" si="189"/>
        <v>3</v>
      </c>
      <c r="BF87" s="38">
        <f>AVERAGE(BE$6:BE87)</f>
        <v>4.833333333333333</v>
      </c>
      <c r="BG87" s="32"/>
      <c r="BH87" s="9"/>
      <c r="BI87" s="32"/>
      <c r="BJ87" s="9">
        <v>72</v>
      </c>
      <c r="BK87" s="7">
        <v>0.16117982837022282</v>
      </c>
      <c r="BL87" s="9">
        <f t="shared" si="190"/>
        <v>3</v>
      </c>
      <c r="BM87" s="38">
        <f>AVERAGE(BL$6:BL87)</f>
        <v>5.3888888888888893</v>
      </c>
      <c r="BN87" s="32"/>
      <c r="BO87" s="9"/>
      <c r="BP87" s="32"/>
      <c r="BQ87" s="9">
        <v>72</v>
      </c>
      <c r="BR87" s="7">
        <v>0.59443263479624875</v>
      </c>
      <c r="BS87" s="9">
        <f t="shared" si="191"/>
        <v>5</v>
      </c>
      <c r="BT87" s="38">
        <f>AVERAGE(BS$6:BS87)</f>
        <v>5.0694444444444446</v>
      </c>
      <c r="BU87" s="32"/>
      <c r="BV87" s="9"/>
      <c r="BW87" s="32"/>
      <c r="BX87" s="9">
        <v>72</v>
      </c>
      <c r="BY87" s="7">
        <v>0.60463663339032792</v>
      </c>
      <c r="BZ87" s="9">
        <f t="shared" si="192"/>
        <v>5</v>
      </c>
      <c r="CA87" s="38">
        <f>AVERAGE(BZ$6:BZ87)</f>
        <v>4.9722222222222223</v>
      </c>
      <c r="CB87" s="32"/>
      <c r="CC87" s="9"/>
      <c r="CD87" s="32"/>
      <c r="CE87" s="9">
        <v>72</v>
      </c>
      <c r="CF87" s="7">
        <v>0.31017994534340687</v>
      </c>
      <c r="CG87" s="9">
        <f t="shared" si="193"/>
        <v>4</v>
      </c>
      <c r="CH87" s="38">
        <f>AVERAGE(CG$6:CG87)</f>
        <v>4.833333333333333</v>
      </c>
      <c r="CI87" s="32"/>
      <c r="CJ87" s="9"/>
      <c r="CK87" s="32"/>
      <c r="CL87" s="9">
        <v>72</v>
      </c>
      <c r="CM87" s="7">
        <v>0.42613052047090605</v>
      </c>
      <c r="CN87" s="9">
        <f t="shared" si="194"/>
        <v>4</v>
      </c>
      <c r="CO87" s="38">
        <f>AVERAGE(CN$6:CN87)</f>
        <v>4.625</v>
      </c>
      <c r="CP87" s="32"/>
      <c r="CQ87" s="9"/>
      <c r="CR87" s="32"/>
      <c r="CS87" s="9">
        <v>72</v>
      </c>
      <c r="CT87" s="7">
        <v>0.52576285041868687</v>
      </c>
      <c r="CU87" s="9">
        <f t="shared" si="195"/>
        <v>5</v>
      </c>
      <c r="CV87" s="38">
        <f>AVERAGE(CU$6:CU87)</f>
        <v>5.0555555555555554</v>
      </c>
      <c r="CW87" s="32"/>
      <c r="CX87" s="9"/>
      <c r="CY87" s="32"/>
      <c r="CZ87" s="9">
        <v>72</v>
      </c>
      <c r="DA87" s="7">
        <v>0.64497707458212972</v>
      </c>
      <c r="DB87" s="9">
        <f t="shared" si="196"/>
        <v>6</v>
      </c>
      <c r="DC87" s="38">
        <f>AVERAGE(DB$6:DB87)</f>
        <v>4.9444444444444446</v>
      </c>
      <c r="DD87" s="32"/>
      <c r="DE87" s="9"/>
      <c r="DF87" s="32"/>
      <c r="DG87" s="9">
        <v>72</v>
      </c>
      <c r="DH87" s="7">
        <v>6.6716075030853972E-2</v>
      </c>
      <c r="DI87" s="9">
        <f t="shared" si="197"/>
        <v>2</v>
      </c>
      <c r="DJ87" s="38">
        <f>AVERAGE(DI$6:DI87)</f>
        <v>5.291666666666667</v>
      </c>
      <c r="DK87" s="32"/>
      <c r="DL87" s="9"/>
      <c r="DM87" s="32"/>
      <c r="DN87" s="9">
        <v>72</v>
      </c>
      <c r="DO87" s="7">
        <v>0.54652139739482664</v>
      </c>
      <c r="DP87" s="9">
        <f t="shared" si="198"/>
        <v>5</v>
      </c>
      <c r="DQ87" s="38">
        <f>AVERAGE(DP$6:DP87)</f>
        <v>5.2638888888888893</v>
      </c>
      <c r="DR87" s="32"/>
      <c r="DS87" s="9"/>
      <c r="DT87" s="32"/>
      <c r="DU87" s="9">
        <v>72</v>
      </c>
      <c r="DV87" s="7">
        <v>0.77946604578755796</v>
      </c>
      <c r="DW87" s="9">
        <f t="shared" si="199"/>
        <v>7</v>
      </c>
      <c r="DX87" s="38">
        <f>AVERAGE(DW$6:DW87)</f>
        <v>4.875</v>
      </c>
      <c r="DY87" s="32"/>
      <c r="DZ87" s="9"/>
      <c r="EA87" s="32"/>
      <c r="EB87" s="9">
        <v>72</v>
      </c>
      <c r="EC87" s="7">
        <v>0.80797745767631568</v>
      </c>
      <c r="ED87" s="9">
        <f t="shared" si="200"/>
        <v>7</v>
      </c>
      <c r="EE87" s="38">
        <f>AVERAGE(ED$6:ED87)</f>
        <v>4.708333333333333</v>
      </c>
      <c r="EF87" s="32"/>
      <c r="EG87" s="9"/>
      <c r="EH87" s="32"/>
      <c r="EI87" s="9">
        <v>72</v>
      </c>
      <c r="EJ87" s="7">
        <v>4.0060676634311676E-2</v>
      </c>
      <c r="EK87" s="9">
        <f t="shared" si="201"/>
        <v>1</v>
      </c>
      <c r="EL87" s="38">
        <f>AVERAGE(EK$6:EK87)</f>
        <v>4.7361111111111107</v>
      </c>
      <c r="EM87" s="32"/>
      <c r="EN87" s="9"/>
      <c r="EO87" s="32"/>
      <c r="EP87" s="9">
        <v>72</v>
      </c>
      <c r="EQ87" s="7">
        <v>0.12990205947426148</v>
      </c>
      <c r="ER87" s="9">
        <f t="shared" si="202"/>
        <v>3</v>
      </c>
      <c r="ES87" s="38">
        <f>AVERAGE(ER$6:ER87)</f>
        <v>4.9027777777777777</v>
      </c>
      <c r="ET87" s="32"/>
    </row>
    <row r="88" spans="5:150" x14ac:dyDescent="0.25">
      <c r="E88" s="7"/>
      <c r="L88" s="32">
        <v>10</v>
      </c>
      <c r="M88" s="9">
        <v>73</v>
      </c>
      <c r="N88" s="7">
        <v>0.8616333476966247</v>
      </c>
      <c r="O88" s="9">
        <f t="shared" si="203"/>
        <v>7</v>
      </c>
      <c r="P88" s="38">
        <f>AVERAGE(O$6:O88)</f>
        <v>4.9178082191780819</v>
      </c>
      <c r="Q88" s="32">
        <f t="shared" ref="Q88" si="204">SUM(O88:O95)</f>
        <v>54</v>
      </c>
      <c r="R88" s="9"/>
      <c r="S88" s="32">
        <v>10</v>
      </c>
      <c r="T88" s="9">
        <v>73</v>
      </c>
      <c r="U88" s="7">
        <v>0.89072358404519036</v>
      </c>
      <c r="V88" s="9">
        <f t="shared" si="184"/>
        <v>8</v>
      </c>
      <c r="W88" s="38">
        <f>AVERAGE(V$6:V88)</f>
        <v>4.602739726027397</v>
      </c>
      <c r="X88" s="32">
        <f t="shared" ref="X88" si="205">SUM(V88:V95)</f>
        <v>53</v>
      </c>
      <c r="Y88" s="9"/>
      <c r="Z88" s="32">
        <v>10</v>
      </c>
      <c r="AA88" s="9">
        <v>73</v>
      </c>
      <c r="AB88" s="7">
        <v>0.67877660319209099</v>
      </c>
      <c r="AC88" s="9">
        <f t="shared" si="185"/>
        <v>6</v>
      </c>
      <c r="AD88" s="38">
        <f>AVERAGE(AC$6:AC88)</f>
        <v>4.9315068493150687</v>
      </c>
      <c r="AE88" s="32">
        <f t="shared" ref="AE88" si="206">SUM(AC88:AC95)</f>
        <v>40</v>
      </c>
      <c r="AF88" s="9"/>
      <c r="AG88" s="32">
        <v>10</v>
      </c>
      <c r="AH88" s="9">
        <v>73</v>
      </c>
      <c r="AI88" s="7">
        <v>0.83150503615615889</v>
      </c>
      <c r="AJ88" s="9">
        <f t="shared" si="186"/>
        <v>7</v>
      </c>
      <c r="AK88" s="38">
        <f>AVERAGE(AJ$6:AJ88)</f>
        <v>4.8904109589041092</v>
      </c>
      <c r="AL88" s="32">
        <f t="shared" ref="AL88" si="207">SUM(AJ88:AJ95)</f>
        <v>47</v>
      </c>
      <c r="AM88" s="9"/>
      <c r="AN88" s="32">
        <v>10</v>
      </c>
      <c r="AO88" s="9">
        <v>73</v>
      </c>
      <c r="AP88" s="7">
        <v>0.94111581158358604</v>
      </c>
      <c r="AQ88" s="9">
        <f t="shared" si="187"/>
        <v>9</v>
      </c>
      <c r="AR88" s="38">
        <f>AVERAGE(AQ$6:AQ88)</f>
        <v>5.2739726027397262</v>
      </c>
      <c r="AS88" s="32">
        <f t="shared" ref="AS88" si="208">SUM(AQ88:AQ95)</f>
        <v>41</v>
      </c>
      <c r="AT88" s="9"/>
      <c r="AU88" s="32">
        <v>10</v>
      </c>
      <c r="AV88" s="9">
        <v>73</v>
      </c>
      <c r="AW88" s="7">
        <v>0.51566205587005243</v>
      </c>
      <c r="AX88" s="9">
        <f t="shared" si="188"/>
        <v>5</v>
      </c>
      <c r="AY88" s="38">
        <f>AVERAGE(AX$6:AX88)</f>
        <v>4.8630136986301373</v>
      </c>
      <c r="AZ88" s="32">
        <f t="shared" ref="AZ88" si="209">SUM(AX88:AX95)</f>
        <v>39</v>
      </c>
      <c r="BA88" s="9"/>
      <c r="BB88" s="32">
        <v>10</v>
      </c>
      <c r="BC88" s="9">
        <v>73</v>
      </c>
      <c r="BD88" s="7">
        <v>0.824494006781606</v>
      </c>
      <c r="BE88" s="9">
        <f t="shared" si="189"/>
        <v>7</v>
      </c>
      <c r="BF88" s="38">
        <f>AVERAGE(BE$6:BE88)</f>
        <v>4.8630136986301373</v>
      </c>
      <c r="BG88" s="32">
        <f t="shared" ref="BG88" si="210">SUM(BE88:BE95)</f>
        <v>36</v>
      </c>
      <c r="BH88" s="9"/>
      <c r="BI88" s="32">
        <v>10</v>
      </c>
      <c r="BJ88" s="9">
        <v>73</v>
      </c>
      <c r="BK88" s="7">
        <v>7.6116106938570738E-3</v>
      </c>
      <c r="BL88" s="9">
        <f t="shared" si="190"/>
        <v>1</v>
      </c>
      <c r="BM88" s="38">
        <f>AVERAGE(BL$6:BL88)</f>
        <v>5.3287671232876717</v>
      </c>
      <c r="BN88" s="32">
        <f t="shared" ref="BN88" si="211">SUM(BL88:BL95)</f>
        <v>46</v>
      </c>
      <c r="BO88" s="9"/>
      <c r="BP88" s="32">
        <v>10</v>
      </c>
      <c r="BQ88" s="9">
        <v>73</v>
      </c>
      <c r="BR88" s="7">
        <v>0.13280692009720951</v>
      </c>
      <c r="BS88" s="9">
        <f t="shared" si="191"/>
        <v>3</v>
      </c>
      <c r="BT88" s="38">
        <f>AVERAGE(BS$6:BS88)</f>
        <v>5.0410958904109586</v>
      </c>
      <c r="BU88" s="32">
        <f t="shared" ref="BU88" si="212">SUM(BS88:BS95)</f>
        <v>30</v>
      </c>
      <c r="BV88" s="9"/>
      <c r="BW88" s="32">
        <v>10</v>
      </c>
      <c r="BX88" s="9">
        <v>73</v>
      </c>
      <c r="BY88" s="7">
        <v>0.38786619604798034</v>
      </c>
      <c r="BZ88" s="9">
        <f t="shared" si="192"/>
        <v>4</v>
      </c>
      <c r="CA88" s="38">
        <f>AVERAGE(BZ$6:BZ88)</f>
        <v>4.9589041095890414</v>
      </c>
      <c r="CB88" s="32">
        <f t="shared" ref="CB88" si="213">SUM(BZ88:BZ95)</f>
        <v>38</v>
      </c>
      <c r="CC88" s="9"/>
      <c r="CD88" s="32">
        <v>10</v>
      </c>
      <c r="CE88" s="9">
        <v>73</v>
      </c>
      <c r="CF88" s="7">
        <v>0.74267185188364238</v>
      </c>
      <c r="CG88" s="9">
        <f t="shared" si="193"/>
        <v>6</v>
      </c>
      <c r="CH88" s="38">
        <f>AVERAGE(CG$6:CG88)</f>
        <v>4.8493150684931505</v>
      </c>
      <c r="CI88" s="32">
        <f t="shared" ref="CI88" si="214">SUM(CG88:CG95)</f>
        <v>40</v>
      </c>
      <c r="CJ88" s="9"/>
      <c r="CK88" s="32">
        <v>10</v>
      </c>
      <c r="CL88" s="9">
        <v>73</v>
      </c>
      <c r="CM88" s="7">
        <v>0.45721804254571907</v>
      </c>
      <c r="CN88" s="9">
        <f t="shared" si="194"/>
        <v>5</v>
      </c>
      <c r="CO88" s="38">
        <f>AVERAGE(CN$6:CN88)</f>
        <v>4.6301369863013697</v>
      </c>
      <c r="CP88" s="32">
        <f t="shared" ref="CP88" si="215">SUM(CN88:CN95)</f>
        <v>37</v>
      </c>
      <c r="CQ88" s="9"/>
      <c r="CR88" s="32">
        <v>10</v>
      </c>
      <c r="CS88" s="9">
        <v>73</v>
      </c>
      <c r="CT88" s="7">
        <v>0.76786796565284021</v>
      </c>
      <c r="CU88" s="9">
        <f t="shared" si="195"/>
        <v>7</v>
      </c>
      <c r="CV88" s="38">
        <f>AVERAGE(CU$6:CU88)</f>
        <v>5.0821917808219181</v>
      </c>
      <c r="CW88" s="32">
        <f t="shared" ref="CW88" si="216">SUM(CU88:CU95)</f>
        <v>37</v>
      </c>
      <c r="CX88" s="9"/>
      <c r="CY88" s="32">
        <v>10</v>
      </c>
      <c r="CZ88" s="9">
        <v>73</v>
      </c>
      <c r="DA88" s="7">
        <v>0.16319340982590802</v>
      </c>
      <c r="DB88" s="9">
        <f t="shared" si="196"/>
        <v>3</v>
      </c>
      <c r="DC88" s="38">
        <f>AVERAGE(DB$6:DB88)</f>
        <v>4.9178082191780819</v>
      </c>
      <c r="DD88" s="32">
        <f t="shared" ref="DD88" si="217">SUM(DB88:DB95)</f>
        <v>44</v>
      </c>
      <c r="DE88" s="9"/>
      <c r="DF88" s="32">
        <v>10</v>
      </c>
      <c r="DG88" s="9">
        <v>73</v>
      </c>
      <c r="DH88" s="7">
        <v>0.35877864091889933</v>
      </c>
      <c r="DI88" s="9">
        <f t="shared" si="197"/>
        <v>4</v>
      </c>
      <c r="DJ88" s="38">
        <f>AVERAGE(DI$6:DI88)</f>
        <v>5.2739726027397262</v>
      </c>
      <c r="DK88" s="32">
        <f t="shared" ref="DK88" si="218">SUM(DI88:DI95)</f>
        <v>41</v>
      </c>
      <c r="DL88" s="9"/>
      <c r="DM88" s="32">
        <v>10</v>
      </c>
      <c r="DN88" s="9">
        <v>73</v>
      </c>
      <c r="DO88" s="7">
        <v>0.45851965836482123</v>
      </c>
      <c r="DP88" s="9">
        <f t="shared" si="198"/>
        <v>5</v>
      </c>
      <c r="DQ88" s="38">
        <f>AVERAGE(DP$6:DP88)</f>
        <v>5.2602739726027394</v>
      </c>
      <c r="DR88" s="32">
        <f t="shared" ref="DR88" si="219">SUM(DP88:DP95)</f>
        <v>40</v>
      </c>
      <c r="DS88" s="9"/>
      <c r="DT88" s="32">
        <v>10</v>
      </c>
      <c r="DU88" s="9">
        <v>73</v>
      </c>
      <c r="DV88" s="7">
        <v>0.425013580621453</v>
      </c>
      <c r="DW88" s="9">
        <f t="shared" si="199"/>
        <v>4</v>
      </c>
      <c r="DX88" s="38">
        <f>AVERAGE(DW$6:DW88)</f>
        <v>4.8630136986301373</v>
      </c>
      <c r="DY88" s="32">
        <f t="shared" ref="DY88" si="220">SUM(DW88:DW95)</f>
        <v>42</v>
      </c>
      <c r="DZ88" s="9"/>
      <c r="EA88" s="32">
        <v>10</v>
      </c>
      <c r="EB88" s="9">
        <v>73</v>
      </c>
      <c r="EC88" s="7">
        <v>0.10839070333167911</v>
      </c>
      <c r="ED88" s="9">
        <f t="shared" si="200"/>
        <v>2</v>
      </c>
      <c r="EE88" s="38">
        <f>AVERAGE(ED$6:ED88)</f>
        <v>4.6712328767123283</v>
      </c>
      <c r="EF88" s="32">
        <f t="shared" ref="EF88" si="221">SUM(ED88:ED95)</f>
        <v>33</v>
      </c>
      <c r="EG88" s="9"/>
      <c r="EH88" s="32">
        <v>10</v>
      </c>
      <c r="EI88" s="9">
        <v>73</v>
      </c>
      <c r="EJ88" s="7">
        <v>0.63124846669961698</v>
      </c>
      <c r="EK88" s="9">
        <f t="shared" si="201"/>
        <v>6</v>
      </c>
      <c r="EL88" s="38">
        <f>AVERAGE(EK$6:EK88)</f>
        <v>4.7534246575342465</v>
      </c>
      <c r="EM88" s="32">
        <f t="shared" ref="EM88" si="222">SUM(EK88:EK95)</f>
        <v>48</v>
      </c>
      <c r="EN88" s="9"/>
      <c r="EO88" s="32">
        <v>10</v>
      </c>
      <c r="EP88" s="9">
        <v>73</v>
      </c>
      <c r="EQ88" s="7">
        <v>0.89956062927376479</v>
      </c>
      <c r="ER88" s="9">
        <f t="shared" si="202"/>
        <v>8</v>
      </c>
      <c r="ES88" s="38">
        <f>AVERAGE(ER$6:ER88)</f>
        <v>4.9452054794520546</v>
      </c>
      <c r="ET88" s="32">
        <f t="shared" ref="ET88" si="223">SUM(ER88:ER95)</f>
        <v>44</v>
      </c>
    </row>
    <row r="89" spans="5:150" x14ac:dyDescent="0.25">
      <c r="E89" s="7"/>
      <c r="L89" s="32"/>
      <c r="M89" s="9">
        <v>74</v>
      </c>
      <c r="N89" s="7">
        <v>0.7411740637908224</v>
      </c>
      <c r="O89" s="9">
        <f t="shared" si="203"/>
        <v>6</v>
      </c>
      <c r="P89" s="38">
        <f>AVERAGE(O$6:O89)</f>
        <v>4.9324324324324325</v>
      </c>
      <c r="Q89" s="32"/>
      <c r="R89" s="9"/>
      <c r="S89" s="32"/>
      <c r="T89" s="9">
        <v>74</v>
      </c>
      <c r="U89" s="7">
        <v>0.72264578330214135</v>
      </c>
      <c r="V89" s="9">
        <f t="shared" si="184"/>
        <v>6</v>
      </c>
      <c r="W89" s="38">
        <f>AVERAGE(V$6:V89)</f>
        <v>4.6216216216216219</v>
      </c>
      <c r="X89" s="32"/>
      <c r="Y89" s="9"/>
      <c r="Z89" s="32"/>
      <c r="AA89" s="9">
        <v>74</v>
      </c>
      <c r="AB89" s="7">
        <v>0.56995064395596273</v>
      </c>
      <c r="AC89" s="9">
        <f t="shared" si="185"/>
        <v>5</v>
      </c>
      <c r="AD89" s="38">
        <f>AVERAGE(AC$6:AC89)</f>
        <v>4.9324324324324325</v>
      </c>
      <c r="AE89" s="32"/>
      <c r="AF89" s="9"/>
      <c r="AG89" s="32"/>
      <c r="AH89" s="9">
        <v>74</v>
      </c>
      <c r="AI89" s="7">
        <v>0.2250936204509344</v>
      </c>
      <c r="AJ89" s="9">
        <f t="shared" si="186"/>
        <v>3</v>
      </c>
      <c r="AK89" s="38">
        <f>AVERAGE(AJ$6:AJ89)</f>
        <v>4.8648648648648649</v>
      </c>
      <c r="AL89" s="32"/>
      <c r="AM89" s="9"/>
      <c r="AN89" s="32"/>
      <c r="AO89" s="9">
        <v>74</v>
      </c>
      <c r="AP89" s="7">
        <v>0.67464296557591297</v>
      </c>
      <c r="AQ89" s="9">
        <f t="shared" si="187"/>
        <v>6</v>
      </c>
      <c r="AR89" s="38">
        <f>AVERAGE(AQ$6:AQ89)</f>
        <v>5.2837837837837842</v>
      </c>
      <c r="AS89" s="32"/>
      <c r="AT89" s="9"/>
      <c r="AU89" s="32"/>
      <c r="AV89" s="9">
        <v>74</v>
      </c>
      <c r="AW89" s="7">
        <v>0.56595877310610376</v>
      </c>
      <c r="AX89" s="9">
        <f t="shared" si="188"/>
        <v>5</v>
      </c>
      <c r="AY89" s="38">
        <f>AVERAGE(AX$6:AX89)</f>
        <v>4.8648648648648649</v>
      </c>
      <c r="AZ89" s="32"/>
      <c r="BA89" s="9"/>
      <c r="BB89" s="32"/>
      <c r="BC89" s="9">
        <v>74</v>
      </c>
      <c r="BD89" s="7">
        <v>0.61441349255619571</v>
      </c>
      <c r="BE89" s="9">
        <f t="shared" si="189"/>
        <v>5</v>
      </c>
      <c r="BF89" s="38">
        <f>AVERAGE(BE$6:BE89)</f>
        <v>4.8648648648648649</v>
      </c>
      <c r="BG89" s="32"/>
      <c r="BH89" s="9"/>
      <c r="BI89" s="32"/>
      <c r="BJ89" s="9">
        <v>74</v>
      </c>
      <c r="BK89" s="7">
        <v>0.91997950736549683</v>
      </c>
      <c r="BL89" s="9">
        <f t="shared" si="190"/>
        <v>8</v>
      </c>
      <c r="BM89" s="38">
        <f>AVERAGE(BL$6:BL89)</f>
        <v>5.3648648648648649</v>
      </c>
      <c r="BN89" s="32"/>
      <c r="BO89" s="9"/>
      <c r="BP89" s="32"/>
      <c r="BQ89" s="9">
        <v>74</v>
      </c>
      <c r="BR89" s="7">
        <v>0.39556385009200312</v>
      </c>
      <c r="BS89" s="9">
        <f t="shared" si="191"/>
        <v>4</v>
      </c>
      <c r="BT89" s="38">
        <f>AVERAGE(BS$6:BS89)</f>
        <v>5.0270270270270272</v>
      </c>
      <c r="BU89" s="32"/>
      <c r="BV89" s="9"/>
      <c r="BW89" s="32"/>
      <c r="BX89" s="9">
        <v>74</v>
      </c>
      <c r="BY89" s="7">
        <v>0.75109096473897807</v>
      </c>
      <c r="BZ89" s="9">
        <f t="shared" si="192"/>
        <v>6</v>
      </c>
      <c r="CA89" s="38">
        <f>AVERAGE(BZ$6:BZ89)</f>
        <v>4.9729729729729728</v>
      </c>
      <c r="CB89" s="32"/>
      <c r="CC89" s="9"/>
      <c r="CD89" s="32"/>
      <c r="CE89" s="9">
        <v>74</v>
      </c>
      <c r="CF89" s="7">
        <v>0.4760037201049272</v>
      </c>
      <c r="CG89" s="9">
        <f t="shared" si="193"/>
        <v>5</v>
      </c>
      <c r="CH89" s="38">
        <f>AVERAGE(CG$6:CG89)</f>
        <v>4.8513513513513518</v>
      </c>
      <c r="CI89" s="32"/>
      <c r="CJ89" s="9"/>
      <c r="CK89" s="32"/>
      <c r="CL89" s="9">
        <v>74</v>
      </c>
      <c r="CM89" s="7">
        <v>0.46729191107442603</v>
      </c>
      <c r="CN89" s="9">
        <f t="shared" si="194"/>
        <v>5</v>
      </c>
      <c r="CO89" s="38">
        <f>AVERAGE(CN$6:CN89)</f>
        <v>4.6351351351351351</v>
      </c>
      <c r="CP89" s="32"/>
      <c r="CQ89" s="9"/>
      <c r="CR89" s="32"/>
      <c r="CS89" s="9">
        <v>74</v>
      </c>
      <c r="CT89" s="7">
        <v>0.452002311241813</v>
      </c>
      <c r="CU89" s="9">
        <f t="shared" si="195"/>
        <v>5</v>
      </c>
      <c r="CV89" s="38">
        <f>AVERAGE(CU$6:CU89)</f>
        <v>5.0810810810810807</v>
      </c>
      <c r="CW89" s="32"/>
      <c r="CX89" s="9"/>
      <c r="CY89" s="32"/>
      <c r="CZ89" s="9">
        <v>74</v>
      </c>
      <c r="DA89" s="7">
        <v>4.4606060371734202E-2</v>
      </c>
      <c r="DB89" s="9">
        <f t="shared" si="196"/>
        <v>2</v>
      </c>
      <c r="DC89" s="38">
        <f>AVERAGE(DB$6:DB89)</f>
        <v>4.8783783783783781</v>
      </c>
      <c r="DD89" s="32"/>
      <c r="DE89" s="9"/>
      <c r="DF89" s="32"/>
      <c r="DG89" s="9">
        <v>74</v>
      </c>
      <c r="DH89" s="7">
        <v>0.7710000732622575</v>
      </c>
      <c r="DI89" s="9">
        <f t="shared" si="197"/>
        <v>7</v>
      </c>
      <c r="DJ89" s="38">
        <f>AVERAGE(DI$6:DI89)</f>
        <v>5.2972972972972974</v>
      </c>
      <c r="DK89" s="32"/>
      <c r="DL89" s="9"/>
      <c r="DM89" s="32"/>
      <c r="DN89" s="9">
        <v>74</v>
      </c>
      <c r="DO89" s="7">
        <v>0.13762405791203491</v>
      </c>
      <c r="DP89" s="9">
        <f t="shared" si="198"/>
        <v>3</v>
      </c>
      <c r="DQ89" s="38">
        <f>AVERAGE(DP$6:DP89)</f>
        <v>5.2297297297297298</v>
      </c>
      <c r="DR89" s="32"/>
      <c r="DS89" s="9"/>
      <c r="DT89" s="32"/>
      <c r="DU89" s="9">
        <v>74</v>
      </c>
      <c r="DV89" s="7">
        <v>0.88199402007739991</v>
      </c>
      <c r="DW89" s="9">
        <f t="shared" si="199"/>
        <v>8</v>
      </c>
      <c r="DX89" s="38">
        <f>AVERAGE(DW$6:DW89)</f>
        <v>4.9054054054054053</v>
      </c>
      <c r="DY89" s="32"/>
      <c r="DZ89" s="9"/>
      <c r="EA89" s="32"/>
      <c r="EB89" s="9">
        <v>74</v>
      </c>
      <c r="EC89" s="7">
        <v>0.8212122158438433</v>
      </c>
      <c r="ED89" s="9">
        <f t="shared" si="200"/>
        <v>7</v>
      </c>
      <c r="EE89" s="38">
        <f>AVERAGE(ED$6:ED89)</f>
        <v>4.7027027027027026</v>
      </c>
      <c r="EF89" s="32"/>
      <c r="EG89" s="9"/>
      <c r="EH89" s="32"/>
      <c r="EI89" s="9">
        <v>74</v>
      </c>
      <c r="EJ89" s="7">
        <v>9.296035033185035E-2</v>
      </c>
      <c r="EK89" s="9">
        <f t="shared" si="201"/>
        <v>2</v>
      </c>
      <c r="EL89" s="38">
        <f>AVERAGE(EK$6:EK89)</f>
        <v>4.7162162162162158</v>
      </c>
      <c r="EM89" s="32"/>
      <c r="EN89" s="9"/>
      <c r="EO89" s="32"/>
      <c r="EP89" s="9">
        <v>74</v>
      </c>
      <c r="EQ89" s="7">
        <v>0.27372407601797022</v>
      </c>
      <c r="ER89" s="9">
        <f t="shared" si="202"/>
        <v>4</v>
      </c>
      <c r="ES89" s="38">
        <f>AVERAGE(ER$6:ER89)</f>
        <v>4.9324324324324325</v>
      </c>
      <c r="ET89" s="32"/>
    </row>
    <row r="90" spans="5:150" x14ac:dyDescent="0.25">
      <c r="E90" s="7"/>
      <c r="L90" s="32"/>
      <c r="M90" s="9">
        <v>75</v>
      </c>
      <c r="N90" s="7">
        <v>0.70464285230264068</v>
      </c>
      <c r="O90" s="9">
        <f t="shared" si="203"/>
        <v>6</v>
      </c>
      <c r="P90" s="38">
        <f>AVERAGE(O$6:O90)</f>
        <v>4.9466666666666663</v>
      </c>
      <c r="Q90" s="32"/>
      <c r="R90" s="9"/>
      <c r="S90" s="32"/>
      <c r="T90" s="9">
        <v>75</v>
      </c>
      <c r="U90" s="7">
        <v>0.16257840063190088</v>
      </c>
      <c r="V90" s="9">
        <f t="shared" si="184"/>
        <v>3</v>
      </c>
      <c r="W90" s="38">
        <f>AVERAGE(V$6:V90)</f>
        <v>4.5999999999999996</v>
      </c>
      <c r="X90" s="32"/>
      <c r="Y90" s="9"/>
      <c r="Z90" s="32"/>
      <c r="AA90" s="9">
        <v>75</v>
      </c>
      <c r="AB90" s="7">
        <v>0.52458163734991103</v>
      </c>
      <c r="AC90" s="9">
        <f t="shared" si="185"/>
        <v>5</v>
      </c>
      <c r="AD90" s="38">
        <f>AVERAGE(AC$6:AC90)</f>
        <v>4.9333333333333336</v>
      </c>
      <c r="AE90" s="32"/>
      <c r="AF90" s="9"/>
      <c r="AG90" s="32"/>
      <c r="AH90" s="9">
        <v>75</v>
      </c>
      <c r="AI90" s="7">
        <v>0.92321453226031736</v>
      </c>
      <c r="AJ90" s="9">
        <f t="shared" si="186"/>
        <v>8</v>
      </c>
      <c r="AK90" s="38">
        <f>AVERAGE(AJ$6:AJ90)</f>
        <v>4.9066666666666663</v>
      </c>
      <c r="AL90" s="32"/>
      <c r="AM90" s="9"/>
      <c r="AN90" s="32"/>
      <c r="AO90" s="9">
        <v>75</v>
      </c>
      <c r="AP90" s="7">
        <v>0.441127271624282</v>
      </c>
      <c r="AQ90" s="9">
        <f t="shared" si="187"/>
        <v>5</v>
      </c>
      <c r="AR90" s="38">
        <f>AVERAGE(AQ$6:AQ90)</f>
        <v>5.28</v>
      </c>
      <c r="AS90" s="32"/>
      <c r="AT90" s="9"/>
      <c r="AU90" s="32"/>
      <c r="AV90" s="9">
        <v>75</v>
      </c>
      <c r="AW90" s="7">
        <v>0.46876814967254177</v>
      </c>
      <c r="AX90" s="9">
        <f t="shared" si="188"/>
        <v>5</v>
      </c>
      <c r="AY90" s="38">
        <f>AVERAGE(AX$6:AX90)</f>
        <v>4.8666666666666663</v>
      </c>
      <c r="AZ90" s="32"/>
      <c r="BA90" s="9"/>
      <c r="BB90" s="32"/>
      <c r="BC90" s="9">
        <v>75</v>
      </c>
      <c r="BD90" s="7">
        <v>0.42294866646989249</v>
      </c>
      <c r="BE90" s="9">
        <f t="shared" si="189"/>
        <v>4</v>
      </c>
      <c r="BF90" s="38">
        <f>AVERAGE(BE$6:BE90)</f>
        <v>4.8533333333333335</v>
      </c>
      <c r="BG90" s="32"/>
      <c r="BH90" s="9"/>
      <c r="BI90" s="32"/>
      <c r="BJ90" s="9">
        <v>75</v>
      </c>
      <c r="BK90" s="7">
        <v>0.78944629325997084</v>
      </c>
      <c r="BL90" s="9">
        <f t="shared" si="190"/>
        <v>7</v>
      </c>
      <c r="BM90" s="38">
        <f>AVERAGE(BL$6:BL90)</f>
        <v>5.3866666666666667</v>
      </c>
      <c r="BN90" s="32"/>
      <c r="BO90" s="9"/>
      <c r="BP90" s="32"/>
      <c r="BQ90" s="9">
        <v>75</v>
      </c>
      <c r="BR90" s="7">
        <v>0.71538279741071165</v>
      </c>
      <c r="BS90" s="9">
        <f t="shared" si="191"/>
        <v>6</v>
      </c>
      <c r="BT90" s="38">
        <f>AVERAGE(BS$6:BS90)</f>
        <v>5.04</v>
      </c>
      <c r="BU90" s="32"/>
      <c r="BV90" s="9"/>
      <c r="BW90" s="32"/>
      <c r="BX90" s="9">
        <v>75</v>
      </c>
      <c r="BY90" s="7">
        <v>0.81184684060281143</v>
      </c>
      <c r="BZ90" s="9">
        <f t="shared" si="192"/>
        <v>7</v>
      </c>
      <c r="CA90" s="38">
        <f>AVERAGE(BZ$6:BZ90)</f>
        <v>5</v>
      </c>
      <c r="CB90" s="32"/>
      <c r="CC90" s="9"/>
      <c r="CD90" s="32"/>
      <c r="CE90" s="9">
        <v>75</v>
      </c>
      <c r="CF90" s="7">
        <v>0.14191585406661034</v>
      </c>
      <c r="CG90" s="9">
        <f t="shared" si="193"/>
        <v>3</v>
      </c>
      <c r="CH90" s="38">
        <f>AVERAGE(CG$6:CG90)</f>
        <v>4.8266666666666671</v>
      </c>
      <c r="CI90" s="32"/>
      <c r="CJ90" s="9"/>
      <c r="CK90" s="32"/>
      <c r="CL90" s="9">
        <v>75</v>
      </c>
      <c r="CM90" s="7">
        <v>0.65533420335850678</v>
      </c>
      <c r="CN90" s="9">
        <f t="shared" si="194"/>
        <v>6</v>
      </c>
      <c r="CO90" s="38">
        <f>AVERAGE(CN$6:CN90)</f>
        <v>4.6533333333333333</v>
      </c>
      <c r="CP90" s="32"/>
      <c r="CQ90" s="9"/>
      <c r="CR90" s="32"/>
      <c r="CS90" s="9">
        <v>75</v>
      </c>
      <c r="CT90" s="7">
        <v>0.7811902895628009</v>
      </c>
      <c r="CU90" s="9">
        <f t="shared" si="195"/>
        <v>7</v>
      </c>
      <c r="CV90" s="38">
        <f>AVERAGE(CU$6:CU90)</f>
        <v>5.1066666666666665</v>
      </c>
      <c r="CW90" s="32"/>
      <c r="CX90" s="9"/>
      <c r="CY90" s="32"/>
      <c r="CZ90" s="9">
        <v>75</v>
      </c>
      <c r="DA90" s="7">
        <v>0.97212109147221781</v>
      </c>
      <c r="DB90" s="9">
        <f t="shared" si="196"/>
        <v>10</v>
      </c>
      <c r="DC90" s="38">
        <f>AVERAGE(DB$6:DB90)</f>
        <v>4.9466666666666663</v>
      </c>
      <c r="DD90" s="32"/>
      <c r="DE90" s="9"/>
      <c r="DF90" s="32"/>
      <c r="DG90" s="9">
        <v>75</v>
      </c>
      <c r="DH90" s="7">
        <v>6.5037730091717094E-2</v>
      </c>
      <c r="DI90" s="9">
        <f t="shared" si="197"/>
        <v>2</v>
      </c>
      <c r="DJ90" s="38">
        <f>AVERAGE(DI$6:DI90)</f>
        <v>5.253333333333333</v>
      </c>
      <c r="DK90" s="32"/>
      <c r="DL90" s="9"/>
      <c r="DM90" s="32"/>
      <c r="DN90" s="9">
        <v>75</v>
      </c>
      <c r="DO90" s="7">
        <v>0.87638982472708449</v>
      </c>
      <c r="DP90" s="9">
        <f t="shared" si="198"/>
        <v>8</v>
      </c>
      <c r="DQ90" s="38">
        <f>AVERAGE(DP$6:DP90)</f>
        <v>5.2666666666666666</v>
      </c>
      <c r="DR90" s="32"/>
      <c r="DS90" s="9"/>
      <c r="DT90" s="32"/>
      <c r="DU90" s="9">
        <v>75</v>
      </c>
      <c r="DV90" s="7">
        <v>0.22692033989005722</v>
      </c>
      <c r="DW90" s="9">
        <f t="shared" si="199"/>
        <v>3</v>
      </c>
      <c r="DX90" s="38">
        <f>AVERAGE(DW$6:DW90)</f>
        <v>4.88</v>
      </c>
      <c r="DY90" s="32"/>
      <c r="DZ90" s="9"/>
      <c r="EA90" s="32"/>
      <c r="EB90" s="9">
        <v>75</v>
      </c>
      <c r="EC90" s="7">
        <v>0.92429115960840136</v>
      </c>
      <c r="ED90" s="9">
        <f t="shared" si="200"/>
        <v>8</v>
      </c>
      <c r="EE90" s="38">
        <f>AVERAGE(ED$6:ED90)</f>
        <v>4.746666666666667</v>
      </c>
      <c r="EF90" s="32"/>
      <c r="EG90" s="9"/>
      <c r="EH90" s="32"/>
      <c r="EI90" s="9">
        <v>75</v>
      </c>
      <c r="EJ90" s="7">
        <v>0.87458042093203403</v>
      </c>
      <c r="EK90" s="9">
        <f t="shared" si="201"/>
        <v>8</v>
      </c>
      <c r="EL90" s="38">
        <f>AVERAGE(EK$6:EK90)</f>
        <v>4.76</v>
      </c>
      <c r="EM90" s="32"/>
      <c r="EN90" s="9"/>
      <c r="EO90" s="32"/>
      <c r="EP90" s="9">
        <v>75</v>
      </c>
      <c r="EQ90" s="7">
        <v>0.96789914928376675</v>
      </c>
      <c r="ER90" s="9">
        <f t="shared" si="202"/>
        <v>9</v>
      </c>
      <c r="ES90" s="38">
        <f>AVERAGE(ER$6:ER90)</f>
        <v>4.9866666666666664</v>
      </c>
      <c r="ET90" s="32"/>
    </row>
    <row r="91" spans="5:150" x14ac:dyDescent="0.25">
      <c r="E91" s="7"/>
      <c r="L91" s="32"/>
      <c r="M91" s="9">
        <v>76</v>
      </c>
      <c r="N91" s="7">
        <v>0.89106893588905223</v>
      </c>
      <c r="O91" s="9">
        <f t="shared" si="203"/>
        <v>8</v>
      </c>
      <c r="P91" s="38">
        <f>AVERAGE(O$6:O91)</f>
        <v>4.9868421052631575</v>
      </c>
      <c r="Q91" s="32"/>
      <c r="R91" s="9"/>
      <c r="S91" s="32"/>
      <c r="T91" s="9">
        <v>76</v>
      </c>
      <c r="U91" s="7">
        <v>0.72787632545805536</v>
      </c>
      <c r="V91" s="9">
        <f t="shared" si="184"/>
        <v>6</v>
      </c>
      <c r="W91" s="38">
        <f>AVERAGE(V$6:V91)</f>
        <v>4.6184210526315788</v>
      </c>
      <c r="X91" s="32"/>
      <c r="Y91" s="9"/>
      <c r="Z91" s="32"/>
      <c r="AA91" s="9">
        <v>76</v>
      </c>
      <c r="AB91" s="7">
        <v>0.1595432352332864</v>
      </c>
      <c r="AC91" s="9">
        <f t="shared" si="185"/>
        <v>3</v>
      </c>
      <c r="AD91" s="38">
        <f>AVERAGE(AC$6:AC91)</f>
        <v>4.9078947368421053</v>
      </c>
      <c r="AE91" s="32"/>
      <c r="AF91" s="9"/>
      <c r="AG91" s="32"/>
      <c r="AH91" s="9">
        <v>76</v>
      </c>
      <c r="AI91" s="7">
        <v>0.45548411409254186</v>
      </c>
      <c r="AJ91" s="9">
        <f t="shared" si="186"/>
        <v>5</v>
      </c>
      <c r="AK91" s="38">
        <f>AVERAGE(AJ$6:AJ91)</f>
        <v>4.9078947368421053</v>
      </c>
      <c r="AL91" s="32"/>
      <c r="AM91" s="9"/>
      <c r="AN91" s="32"/>
      <c r="AO91" s="9">
        <v>76</v>
      </c>
      <c r="AP91" s="7">
        <v>0.18054488653433509</v>
      </c>
      <c r="AQ91" s="9">
        <f t="shared" si="187"/>
        <v>3</v>
      </c>
      <c r="AR91" s="38">
        <f>AVERAGE(AQ$6:AQ91)</f>
        <v>5.25</v>
      </c>
      <c r="AS91" s="32"/>
      <c r="AT91" s="9"/>
      <c r="AU91" s="32"/>
      <c r="AV91" s="9">
        <v>76</v>
      </c>
      <c r="AW91" s="7">
        <v>0.41559708138811402</v>
      </c>
      <c r="AX91" s="9">
        <f t="shared" si="188"/>
        <v>4</v>
      </c>
      <c r="AY91" s="38">
        <f>AVERAGE(AX$6:AX91)</f>
        <v>4.8552631578947372</v>
      </c>
      <c r="AZ91" s="32"/>
      <c r="BA91" s="9"/>
      <c r="BB91" s="32"/>
      <c r="BC91" s="9">
        <v>76</v>
      </c>
      <c r="BD91" s="7">
        <v>0.8185632320237346</v>
      </c>
      <c r="BE91" s="9">
        <f t="shared" si="189"/>
        <v>7</v>
      </c>
      <c r="BF91" s="38">
        <f>AVERAGE(BE$6:BE91)</f>
        <v>4.8815789473684212</v>
      </c>
      <c r="BG91" s="32"/>
      <c r="BH91" s="9"/>
      <c r="BI91" s="32"/>
      <c r="BJ91" s="9">
        <v>76</v>
      </c>
      <c r="BK91" s="7">
        <v>0.56484102891408838</v>
      </c>
      <c r="BL91" s="9">
        <f t="shared" si="190"/>
        <v>5</v>
      </c>
      <c r="BM91" s="38">
        <f>AVERAGE(BL$6:BL91)</f>
        <v>5.3815789473684212</v>
      </c>
      <c r="BN91" s="32"/>
      <c r="BO91" s="9"/>
      <c r="BP91" s="32"/>
      <c r="BQ91" s="9">
        <v>76</v>
      </c>
      <c r="BR91" s="7">
        <v>0.42214066654560156</v>
      </c>
      <c r="BS91" s="9">
        <f t="shared" si="191"/>
        <v>4</v>
      </c>
      <c r="BT91" s="38">
        <f>AVERAGE(BS$6:BS91)</f>
        <v>5.0263157894736841</v>
      </c>
      <c r="BU91" s="32"/>
      <c r="BV91" s="9"/>
      <c r="BW91" s="32"/>
      <c r="BX91" s="9">
        <v>76</v>
      </c>
      <c r="BY91" s="7">
        <v>0.10112291047698818</v>
      </c>
      <c r="BZ91" s="9">
        <f t="shared" si="192"/>
        <v>2</v>
      </c>
      <c r="CA91" s="38">
        <f>AVERAGE(BZ$6:BZ91)</f>
        <v>4.9605263157894735</v>
      </c>
      <c r="CB91" s="32"/>
      <c r="CC91" s="9"/>
      <c r="CD91" s="32"/>
      <c r="CE91" s="9">
        <v>76</v>
      </c>
      <c r="CF91" s="7">
        <v>8.6664844333427027E-2</v>
      </c>
      <c r="CG91" s="9">
        <f t="shared" si="193"/>
        <v>2</v>
      </c>
      <c r="CH91" s="38">
        <f>AVERAGE(CG$6:CG91)</f>
        <v>4.7894736842105265</v>
      </c>
      <c r="CI91" s="32"/>
      <c r="CJ91" s="9"/>
      <c r="CK91" s="32"/>
      <c r="CL91" s="9">
        <v>76</v>
      </c>
      <c r="CM91" s="7">
        <v>0.49711472966009751</v>
      </c>
      <c r="CN91" s="9">
        <f t="shared" si="194"/>
        <v>5</v>
      </c>
      <c r="CO91" s="38">
        <f>AVERAGE(CN$6:CN91)</f>
        <v>4.6578947368421053</v>
      </c>
      <c r="CP91" s="32"/>
      <c r="CQ91" s="9"/>
      <c r="CR91" s="32"/>
      <c r="CS91" s="9">
        <v>76</v>
      </c>
      <c r="CT91" s="7">
        <v>0.31299912487156689</v>
      </c>
      <c r="CU91" s="9">
        <f t="shared" si="195"/>
        <v>4</v>
      </c>
      <c r="CV91" s="38">
        <f>AVERAGE(CU$6:CU91)</f>
        <v>5.0921052631578947</v>
      </c>
      <c r="CW91" s="32"/>
      <c r="CX91" s="9"/>
      <c r="CY91" s="32"/>
      <c r="CZ91" s="9">
        <v>76</v>
      </c>
      <c r="DA91" s="7">
        <v>0.64236210822127759</v>
      </c>
      <c r="DB91" s="9">
        <f t="shared" si="196"/>
        <v>6</v>
      </c>
      <c r="DC91" s="38">
        <f>AVERAGE(DB$6:DB91)</f>
        <v>4.9605263157894735</v>
      </c>
      <c r="DD91" s="32"/>
      <c r="DE91" s="9"/>
      <c r="DF91" s="32"/>
      <c r="DG91" s="9">
        <v>76</v>
      </c>
      <c r="DH91" s="7">
        <v>0.49443099726340733</v>
      </c>
      <c r="DI91" s="9">
        <f t="shared" si="197"/>
        <v>5</v>
      </c>
      <c r="DJ91" s="38">
        <f>AVERAGE(DI$6:DI91)</f>
        <v>5.25</v>
      </c>
      <c r="DK91" s="32"/>
      <c r="DL91" s="9"/>
      <c r="DM91" s="32"/>
      <c r="DN91" s="9">
        <v>76</v>
      </c>
      <c r="DO91" s="7">
        <v>0.34075973447761498</v>
      </c>
      <c r="DP91" s="9">
        <f t="shared" si="198"/>
        <v>4</v>
      </c>
      <c r="DQ91" s="38">
        <f>AVERAGE(DP$6:DP91)</f>
        <v>5.25</v>
      </c>
      <c r="DR91" s="32"/>
      <c r="DS91" s="9"/>
      <c r="DT91" s="32"/>
      <c r="DU91" s="9">
        <v>76</v>
      </c>
      <c r="DV91" s="7">
        <v>0.86397504340857267</v>
      </c>
      <c r="DW91" s="9">
        <f t="shared" si="199"/>
        <v>7</v>
      </c>
      <c r="DX91" s="38">
        <f>AVERAGE(DW$6:DW91)</f>
        <v>4.9078947368421053</v>
      </c>
      <c r="DY91" s="32"/>
      <c r="DZ91" s="9"/>
      <c r="EA91" s="32"/>
      <c r="EB91" s="9">
        <v>76</v>
      </c>
      <c r="EC91" s="7">
        <v>9.9471983558032662E-3</v>
      </c>
      <c r="ED91" s="9">
        <f t="shared" si="200"/>
        <v>1</v>
      </c>
      <c r="EE91" s="38">
        <f>AVERAGE(ED$6:ED91)</f>
        <v>4.6973684210526319</v>
      </c>
      <c r="EF91" s="32"/>
      <c r="EG91" s="9"/>
      <c r="EH91" s="32"/>
      <c r="EI91" s="9">
        <v>76</v>
      </c>
      <c r="EJ91" s="7">
        <v>0.40891678002662957</v>
      </c>
      <c r="EK91" s="9">
        <f t="shared" si="201"/>
        <v>4</v>
      </c>
      <c r="EL91" s="38">
        <f>AVERAGE(EK$6:EK91)</f>
        <v>4.75</v>
      </c>
      <c r="EM91" s="32"/>
      <c r="EN91" s="9"/>
      <c r="EO91" s="32"/>
      <c r="EP91" s="9">
        <v>76</v>
      </c>
      <c r="EQ91" s="7">
        <v>0.46806188116897829</v>
      </c>
      <c r="ER91" s="9">
        <f t="shared" si="202"/>
        <v>5</v>
      </c>
      <c r="ES91" s="38">
        <f>AVERAGE(ER$6:ER91)</f>
        <v>4.9868421052631575</v>
      </c>
      <c r="ET91" s="32"/>
    </row>
    <row r="92" spans="5:150" x14ac:dyDescent="0.25">
      <c r="E92" s="7"/>
      <c r="L92" s="32"/>
      <c r="M92" s="9">
        <v>77</v>
      </c>
      <c r="N92" s="7">
        <v>0.90050198289100081</v>
      </c>
      <c r="O92" s="9">
        <f t="shared" si="203"/>
        <v>8</v>
      </c>
      <c r="P92" s="38">
        <f>AVERAGE(O$6:O92)</f>
        <v>5.0259740259740262</v>
      </c>
      <c r="Q92" s="32"/>
      <c r="R92" s="9"/>
      <c r="S92" s="32"/>
      <c r="T92" s="9">
        <v>77</v>
      </c>
      <c r="U92" s="7">
        <v>0.85630761092761531</v>
      </c>
      <c r="V92" s="9">
        <f t="shared" si="184"/>
        <v>7</v>
      </c>
      <c r="W92" s="38">
        <f>AVERAGE(V$6:V92)</f>
        <v>4.6493506493506498</v>
      </c>
      <c r="X92" s="32"/>
      <c r="Y92" s="9"/>
      <c r="Z92" s="32"/>
      <c r="AA92" s="9">
        <v>77</v>
      </c>
      <c r="AB92" s="7">
        <v>0.1647661451715976</v>
      </c>
      <c r="AC92" s="9">
        <f t="shared" si="185"/>
        <v>3</v>
      </c>
      <c r="AD92" s="38">
        <f>AVERAGE(AC$6:AC92)</f>
        <v>4.883116883116883</v>
      </c>
      <c r="AE92" s="32"/>
      <c r="AF92" s="9"/>
      <c r="AG92" s="32"/>
      <c r="AH92" s="9">
        <v>77</v>
      </c>
      <c r="AI92" s="7">
        <v>0.57431875768816099</v>
      </c>
      <c r="AJ92" s="9">
        <f t="shared" si="186"/>
        <v>5</v>
      </c>
      <c r="AK92" s="38">
        <f>AVERAGE(AJ$6:AJ92)</f>
        <v>4.9090909090909092</v>
      </c>
      <c r="AL92" s="32"/>
      <c r="AM92" s="9"/>
      <c r="AN92" s="32"/>
      <c r="AO92" s="9">
        <v>77</v>
      </c>
      <c r="AP92" s="7">
        <v>0.98061656521167606</v>
      </c>
      <c r="AQ92" s="9">
        <f t="shared" si="187"/>
        <v>10</v>
      </c>
      <c r="AR92" s="38">
        <f>AVERAGE(AQ$6:AQ92)</f>
        <v>5.3116883116883118</v>
      </c>
      <c r="AS92" s="32"/>
      <c r="AT92" s="9"/>
      <c r="AU92" s="32"/>
      <c r="AV92" s="9">
        <v>77</v>
      </c>
      <c r="AW92" s="7">
        <v>3.2496914907824248E-2</v>
      </c>
      <c r="AX92" s="9">
        <f t="shared" si="188"/>
        <v>1</v>
      </c>
      <c r="AY92" s="38">
        <f>AVERAGE(AX$6:AX92)</f>
        <v>4.8051948051948052</v>
      </c>
      <c r="AZ92" s="32"/>
      <c r="BA92" s="9"/>
      <c r="BB92" s="32"/>
      <c r="BC92" s="9">
        <v>77</v>
      </c>
      <c r="BD92" s="7">
        <v>0.5600644922524225</v>
      </c>
      <c r="BE92" s="9">
        <f t="shared" si="189"/>
        <v>5</v>
      </c>
      <c r="BF92" s="38">
        <f>AVERAGE(BE$6:BE92)</f>
        <v>4.883116883116883</v>
      </c>
      <c r="BG92" s="32"/>
      <c r="BH92" s="9"/>
      <c r="BI92" s="32"/>
      <c r="BJ92" s="9">
        <v>77</v>
      </c>
      <c r="BK92" s="7">
        <v>0.89312989078462124</v>
      </c>
      <c r="BL92" s="9">
        <f t="shared" si="190"/>
        <v>8</v>
      </c>
      <c r="BM92" s="38">
        <f>AVERAGE(BL$6:BL92)</f>
        <v>5.4155844155844157</v>
      </c>
      <c r="BN92" s="32"/>
      <c r="BO92" s="9"/>
      <c r="BP92" s="32"/>
      <c r="BQ92" s="9">
        <v>77</v>
      </c>
      <c r="BR92" s="7">
        <v>0.40244327101390809</v>
      </c>
      <c r="BS92" s="9">
        <f t="shared" si="191"/>
        <v>4</v>
      </c>
      <c r="BT92" s="38">
        <f>AVERAGE(BS$6:BS92)</f>
        <v>5.0129870129870131</v>
      </c>
      <c r="BU92" s="32"/>
      <c r="BV92" s="9"/>
      <c r="BW92" s="32"/>
      <c r="BX92" s="9">
        <v>77</v>
      </c>
      <c r="BY92" s="7">
        <v>7.8298895678017288E-2</v>
      </c>
      <c r="BZ92" s="9">
        <f t="shared" si="192"/>
        <v>2</v>
      </c>
      <c r="CA92" s="38">
        <f>AVERAGE(BZ$6:BZ92)</f>
        <v>4.9220779220779223</v>
      </c>
      <c r="CB92" s="32"/>
      <c r="CC92" s="9"/>
      <c r="CD92" s="32"/>
      <c r="CE92" s="9">
        <v>77</v>
      </c>
      <c r="CF92" s="7">
        <v>0.63239483174402267</v>
      </c>
      <c r="CG92" s="9">
        <f t="shared" si="193"/>
        <v>6</v>
      </c>
      <c r="CH92" s="38">
        <f>AVERAGE(CG$6:CG92)</f>
        <v>4.8051948051948052</v>
      </c>
      <c r="CI92" s="32"/>
      <c r="CJ92" s="9"/>
      <c r="CK92" s="32"/>
      <c r="CL92" s="9">
        <v>77</v>
      </c>
      <c r="CM92" s="7">
        <v>1.4085774979321286E-2</v>
      </c>
      <c r="CN92" s="9">
        <f t="shared" si="194"/>
        <v>1</v>
      </c>
      <c r="CO92" s="38">
        <f>AVERAGE(CN$6:CN92)</f>
        <v>4.6103896103896105</v>
      </c>
      <c r="CP92" s="32"/>
      <c r="CQ92" s="9"/>
      <c r="CR92" s="32"/>
      <c r="CS92" s="9">
        <v>77</v>
      </c>
      <c r="CT92" s="7">
        <v>0.19454930888605304</v>
      </c>
      <c r="CU92" s="9">
        <f t="shared" si="195"/>
        <v>3</v>
      </c>
      <c r="CV92" s="38">
        <f>AVERAGE(CU$6:CU92)</f>
        <v>5.0649350649350646</v>
      </c>
      <c r="CW92" s="32"/>
      <c r="CX92" s="9"/>
      <c r="CY92" s="32"/>
      <c r="CZ92" s="9">
        <v>77</v>
      </c>
      <c r="DA92" s="7">
        <v>0.81648573398706503</v>
      </c>
      <c r="DB92" s="9">
        <f t="shared" si="196"/>
        <v>7</v>
      </c>
      <c r="DC92" s="38">
        <f>AVERAGE(DB$6:DB92)</f>
        <v>4.9870129870129869</v>
      </c>
      <c r="DD92" s="32"/>
      <c r="DE92" s="9"/>
      <c r="DF92" s="32"/>
      <c r="DG92" s="9">
        <v>77</v>
      </c>
      <c r="DH92" s="7">
        <v>0.63196359068388119</v>
      </c>
      <c r="DI92" s="9">
        <f t="shared" si="197"/>
        <v>6</v>
      </c>
      <c r="DJ92" s="38">
        <f>AVERAGE(DI$6:DI92)</f>
        <v>5.2597402597402594</v>
      </c>
      <c r="DK92" s="32"/>
      <c r="DL92" s="9"/>
      <c r="DM92" s="32"/>
      <c r="DN92" s="9">
        <v>77</v>
      </c>
      <c r="DO92" s="7">
        <v>0.49126325600082055</v>
      </c>
      <c r="DP92" s="9">
        <f t="shared" si="198"/>
        <v>5</v>
      </c>
      <c r="DQ92" s="38">
        <f>AVERAGE(DP$6:DP92)</f>
        <v>5.2467532467532472</v>
      </c>
      <c r="DR92" s="32"/>
      <c r="DS92" s="9"/>
      <c r="DT92" s="32"/>
      <c r="DU92" s="9">
        <v>77</v>
      </c>
      <c r="DV92" s="7">
        <v>0.94714735544403084</v>
      </c>
      <c r="DW92" s="9">
        <f t="shared" si="199"/>
        <v>9</v>
      </c>
      <c r="DX92" s="38">
        <f>AVERAGE(DW$6:DW92)</f>
        <v>4.9610389610389607</v>
      </c>
      <c r="DY92" s="32"/>
      <c r="DZ92" s="9"/>
      <c r="EA92" s="32"/>
      <c r="EB92" s="9">
        <v>77</v>
      </c>
      <c r="EC92" s="7">
        <v>0.12280715326778591</v>
      </c>
      <c r="ED92" s="9">
        <f t="shared" si="200"/>
        <v>2</v>
      </c>
      <c r="EE92" s="38">
        <f>AVERAGE(ED$6:ED92)</f>
        <v>4.662337662337662</v>
      </c>
      <c r="EF92" s="32"/>
      <c r="EG92" s="9"/>
      <c r="EH92" s="32"/>
      <c r="EI92" s="9">
        <v>77</v>
      </c>
      <c r="EJ92" s="7">
        <v>0.59214171374333091</v>
      </c>
      <c r="EK92" s="9">
        <f t="shared" si="201"/>
        <v>5</v>
      </c>
      <c r="EL92" s="38">
        <f>AVERAGE(EK$6:EK92)</f>
        <v>4.7532467532467528</v>
      </c>
      <c r="EM92" s="32"/>
      <c r="EN92" s="9"/>
      <c r="EO92" s="32"/>
      <c r="EP92" s="9">
        <v>77</v>
      </c>
      <c r="EQ92" s="7">
        <v>5.1868802052922547E-2</v>
      </c>
      <c r="ER92" s="9">
        <f t="shared" si="202"/>
        <v>2</v>
      </c>
      <c r="ES92" s="38">
        <f>AVERAGE(ER$6:ER92)</f>
        <v>4.9480519480519485</v>
      </c>
      <c r="ET92" s="32"/>
    </row>
    <row r="93" spans="5:150" x14ac:dyDescent="0.25">
      <c r="E93" s="7"/>
      <c r="L93" s="32"/>
      <c r="M93" s="9">
        <v>78</v>
      </c>
      <c r="N93" s="7">
        <v>0.75852118889451958</v>
      </c>
      <c r="O93" s="9">
        <f t="shared" si="203"/>
        <v>6</v>
      </c>
      <c r="P93" s="38">
        <f>AVERAGE(O$6:O93)</f>
        <v>5.0384615384615383</v>
      </c>
      <c r="Q93" s="32"/>
      <c r="R93" s="9"/>
      <c r="S93" s="32"/>
      <c r="T93" s="9">
        <v>78</v>
      </c>
      <c r="U93" s="7">
        <v>0.99841962775099091</v>
      </c>
      <c r="V93" s="9">
        <f t="shared" si="184"/>
        <v>13</v>
      </c>
      <c r="W93" s="38">
        <f>AVERAGE(V$6:V93)</f>
        <v>4.7564102564102564</v>
      </c>
      <c r="X93" s="32"/>
      <c r="Y93" s="9"/>
      <c r="Z93" s="32"/>
      <c r="AA93" s="9">
        <v>78</v>
      </c>
      <c r="AB93" s="7">
        <v>0.85456476340186782</v>
      </c>
      <c r="AC93" s="9">
        <f t="shared" si="185"/>
        <v>7</v>
      </c>
      <c r="AD93" s="38">
        <f>AVERAGE(AC$6:AC93)</f>
        <v>4.9102564102564106</v>
      </c>
      <c r="AE93" s="32"/>
      <c r="AF93" s="9"/>
      <c r="AG93" s="32"/>
      <c r="AH93" s="9">
        <v>78</v>
      </c>
      <c r="AI93" s="7">
        <v>0.77416020943201147</v>
      </c>
      <c r="AJ93" s="9">
        <f t="shared" si="186"/>
        <v>7</v>
      </c>
      <c r="AK93" s="38">
        <f>AVERAGE(AJ$6:AJ93)</f>
        <v>4.9358974358974361</v>
      </c>
      <c r="AL93" s="32"/>
      <c r="AM93" s="9"/>
      <c r="AN93" s="32"/>
      <c r="AO93" s="9">
        <v>78</v>
      </c>
      <c r="AP93" s="7">
        <v>1.7531084042275324E-2</v>
      </c>
      <c r="AQ93" s="9">
        <f t="shared" si="187"/>
        <v>1</v>
      </c>
      <c r="AR93" s="38">
        <f>AVERAGE(AQ$6:AQ93)</f>
        <v>5.2564102564102564</v>
      </c>
      <c r="AS93" s="32"/>
      <c r="AT93" s="9"/>
      <c r="AU93" s="32"/>
      <c r="AV93" s="9">
        <v>78</v>
      </c>
      <c r="AW93" s="7">
        <v>0.73591117755859159</v>
      </c>
      <c r="AX93" s="9">
        <f t="shared" si="188"/>
        <v>6</v>
      </c>
      <c r="AY93" s="38">
        <f>AVERAGE(AX$6:AX93)</f>
        <v>4.8205128205128203</v>
      </c>
      <c r="AZ93" s="32"/>
      <c r="BA93" s="9"/>
      <c r="BB93" s="32"/>
      <c r="BC93" s="9">
        <v>78</v>
      </c>
      <c r="BD93" s="7">
        <v>0.43321351002668962</v>
      </c>
      <c r="BE93" s="9">
        <f t="shared" si="189"/>
        <v>4</v>
      </c>
      <c r="BF93" s="38">
        <f>AVERAGE(BE$6:BE93)</f>
        <v>4.8717948717948714</v>
      </c>
      <c r="BG93" s="32"/>
      <c r="BH93" s="9"/>
      <c r="BI93" s="32"/>
      <c r="BJ93" s="9">
        <v>78</v>
      </c>
      <c r="BK93" s="7">
        <v>0.96189375410904177</v>
      </c>
      <c r="BL93" s="9">
        <f t="shared" si="190"/>
        <v>9</v>
      </c>
      <c r="BM93" s="38">
        <f>AVERAGE(BL$6:BL93)</f>
        <v>5.4615384615384617</v>
      </c>
      <c r="BN93" s="32"/>
      <c r="BO93" s="9"/>
      <c r="BP93" s="32"/>
      <c r="BQ93" s="9">
        <v>78</v>
      </c>
      <c r="BR93" s="7">
        <v>0.25828457219176926</v>
      </c>
      <c r="BS93" s="9">
        <f t="shared" si="191"/>
        <v>3</v>
      </c>
      <c r="BT93" s="38">
        <f>AVERAGE(BS$6:BS93)</f>
        <v>4.9871794871794872</v>
      </c>
      <c r="BU93" s="32"/>
      <c r="BV93" s="9"/>
      <c r="BW93" s="32"/>
      <c r="BX93" s="9">
        <v>78</v>
      </c>
      <c r="BY93" s="7">
        <v>0.32393127420800738</v>
      </c>
      <c r="BZ93" s="9">
        <f t="shared" si="192"/>
        <v>4</v>
      </c>
      <c r="CA93" s="38">
        <f>AVERAGE(BZ$6:BZ93)</f>
        <v>4.9102564102564106</v>
      </c>
      <c r="CB93" s="32"/>
      <c r="CC93" s="9"/>
      <c r="CD93" s="32"/>
      <c r="CE93" s="9">
        <v>78</v>
      </c>
      <c r="CF93" s="7">
        <v>0.68333834820077755</v>
      </c>
      <c r="CG93" s="9">
        <f t="shared" si="193"/>
        <v>6</v>
      </c>
      <c r="CH93" s="38">
        <f>AVERAGE(CG$6:CG93)</f>
        <v>4.8205128205128203</v>
      </c>
      <c r="CI93" s="32"/>
      <c r="CJ93" s="9"/>
      <c r="CK93" s="32"/>
      <c r="CL93" s="9">
        <v>78</v>
      </c>
      <c r="CM93" s="7">
        <v>0.25417411437956616</v>
      </c>
      <c r="CN93" s="9">
        <f t="shared" si="194"/>
        <v>3</v>
      </c>
      <c r="CO93" s="38">
        <f>AVERAGE(CN$6:CN93)</f>
        <v>4.5897435897435894</v>
      </c>
      <c r="CP93" s="32"/>
      <c r="CQ93" s="9"/>
      <c r="CR93" s="32"/>
      <c r="CS93" s="9">
        <v>78</v>
      </c>
      <c r="CT93" s="7">
        <v>0.19289407634641975</v>
      </c>
      <c r="CU93" s="9">
        <f t="shared" si="195"/>
        <v>3</v>
      </c>
      <c r="CV93" s="38">
        <f>AVERAGE(CU$6:CU93)</f>
        <v>5.0384615384615383</v>
      </c>
      <c r="CW93" s="32"/>
      <c r="CX93" s="9"/>
      <c r="CY93" s="32"/>
      <c r="CZ93" s="9">
        <v>78</v>
      </c>
      <c r="DA93" s="7">
        <v>0.49015300336759537</v>
      </c>
      <c r="DB93" s="9">
        <f t="shared" si="196"/>
        <v>5</v>
      </c>
      <c r="DC93" s="38">
        <f>AVERAGE(DB$6:DB93)</f>
        <v>4.9871794871794872</v>
      </c>
      <c r="DD93" s="32"/>
      <c r="DE93" s="9"/>
      <c r="DF93" s="32"/>
      <c r="DG93" s="9">
        <v>78</v>
      </c>
      <c r="DH93" s="7">
        <v>0.46124920222791843</v>
      </c>
      <c r="DI93" s="9">
        <f t="shared" si="197"/>
        <v>5</v>
      </c>
      <c r="DJ93" s="38">
        <f>AVERAGE(DI$6:DI93)</f>
        <v>5.2564102564102564</v>
      </c>
      <c r="DK93" s="32"/>
      <c r="DL93" s="9"/>
      <c r="DM93" s="32"/>
      <c r="DN93" s="9">
        <v>78</v>
      </c>
      <c r="DO93" s="7">
        <v>5.7684045168571174E-4</v>
      </c>
      <c r="DP93" s="9">
        <f t="shared" si="198"/>
        <v>0</v>
      </c>
      <c r="DQ93" s="38">
        <f>AVERAGE(DP$6:DP93)</f>
        <v>5.1794871794871797</v>
      </c>
      <c r="DR93" s="32"/>
      <c r="DS93" s="9"/>
      <c r="DT93" s="32"/>
      <c r="DU93" s="9">
        <v>78</v>
      </c>
      <c r="DV93" s="7">
        <v>0.78088805370498449</v>
      </c>
      <c r="DW93" s="9">
        <f t="shared" si="199"/>
        <v>7</v>
      </c>
      <c r="DX93" s="38">
        <f>AVERAGE(DW$6:DW93)</f>
        <v>4.9871794871794872</v>
      </c>
      <c r="DY93" s="32"/>
      <c r="DZ93" s="9"/>
      <c r="EA93" s="32"/>
      <c r="EB93" s="9">
        <v>78</v>
      </c>
      <c r="EC93" s="7">
        <v>0.24568393293884583</v>
      </c>
      <c r="ED93" s="9">
        <f t="shared" si="200"/>
        <v>3</v>
      </c>
      <c r="EE93" s="38">
        <f>AVERAGE(ED$6:ED93)</f>
        <v>4.6410256410256414</v>
      </c>
      <c r="EF93" s="32"/>
      <c r="EG93" s="9"/>
      <c r="EH93" s="32"/>
      <c r="EI93" s="9">
        <v>78</v>
      </c>
      <c r="EJ93" s="7">
        <v>0.95298257784452289</v>
      </c>
      <c r="EK93" s="9">
        <f t="shared" si="201"/>
        <v>9</v>
      </c>
      <c r="EL93" s="38">
        <f>AVERAGE(EK$6:EK93)</f>
        <v>4.8076923076923075</v>
      </c>
      <c r="EM93" s="32"/>
      <c r="EN93" s="9"/>
      <c r="EO93" s="32"/>
      <c r="EP93" s="9">
        <v>78</v>
      </c>
      <c r="EQ93" s="7">
        <v>0.71243305728421547</v>
      </c>
      <c r="ER93" s="9">
        <f t="shared" si="202"/>
        <v>6</v>
      </c>
      <c r="ES93" s="38">
        <f>AVERAGE(ER$6:ER93)</f>
        <v>4.9615384615384617</v>
      </c>
      <c r="ET93" s="32"/>
    </row>
    <row r="94" spans="5:150" x14ac:dyDescent="0.25">
      <c r="E94" s="7"/>
      <c r="L94" s="32"/>
      <c r="M94" s="9">
        <v>79</v>
      </c>
      <c r="N94" s="7">
        <v>0.63841228070668876</v>
      </c>
      <c r="O94" s="9">
        <f t="shared" si="203"/>
        <v>6</v>
      </c>
      <c r="P94" s="38">
        <f>AVERAGE(O$6:O94)</f>
        <v>5.0506329113924053</v>
      </c>
      <c r="Q94" s="32"/>
      <c r="R94" s="9"/>
      <c r="S94" s="32"/>
      <c r="T94" s="9">
        <v>79</v>
      </c>
      <c r="U94" s="7">
        <v>0.18610829178942367</v>
      </c>
      <c r="V94" s="9">
        <f t="shared" si="184"/>
        <v>3</v>
      </c>
      <c r="W94" s="38">
        <f>AVERAGE(V$6:V94)</f>
        <v>4.7341772151898738</v>
      </c>
      <c r="X94" s="32"/>
      <c r="Y94" s="9"/>
      <c r="Z94" s="32"/>
      <c r="AA94" s="9">
        <v>79</v>
      </c>
      <c r="AB94" s="7">
        <v>0.10085315199103206</v>
      </c>
      <c r="AC94" s="9">
        <f t="shared" si="185"/>
        <v>2</v>
      </c>
      <c r="AD94" s="38">
        <f>AVERAGE(AC$6:AC94)</f>
        <v>4.8734177215189876</v>
      </c>
      <c r="AE94" s="32"/>
      <c r="AF94" s="9"/>
      <c r="AG94" s="32"/>
      <c r="AH94" s="9">
        <v>79</v>
      </c>
      <c r="AI94" s="7">
        <v>0.69250785751501098</v>
      </c>
      <c r="AJ94" s="9">
        <f t="shared" si="186"/>
        <v>6</v>
      </c>
      <c r="AK94" s="38">
        <f>AVERAGE(AJ$6:AJ94)</f>
        <v>4.9493670886075947</v>
      </c>
      <c r="AL94" s="32"/>
      <c r="AM94" s="9"/>
      <c r="AN94" s="32"/>
      <c r="AO94" s="9">
        <v>79</v>
      </c>
      <c r="AP94" s="7">
        <v>2.8508281800895929E-2</v>
      </c>
      <c r="AQ94" s="9">
        <f t="shared" si="187"/>
        <v>1</v>
      </c>
      <c r="AR94" s="38">
        <f>AVERAGE(AQ$6:AQ94)</f>
        <v>5.2025316455696204</v>
      </c>
      <c r="AS94" s="32"/>
      <c r="AT94" s="9"/>
      <c r="AU94" s="32"/>
      <c r="AV94" s="9">
        <v>79</v>
      </c>
      <c r="AW94" s="7">
        <v>0.99425644270377234</v>
      </c>
      <c r="AX94" s="9">
        <f t="shared" si="188"/>
        <v>11</v>
      </c>
      <c r="AY94" s="38">
        <f>AVERAGE(AX$6:AX94)</f>
        <v>4.8987341772151902</v>
      </c>
      <c r="AZ94" s="32"/>
      <c r="BA94" s="9"/>
      <c r="BB94" s="32"/>
      <c r="BC94" s="9">
        <v>79</v>
      </c>
      <c r="BD94" s="7">
        <v>0.10495766377425753</v>
      </c>
      <c r="BE94" s="9">
        <f t="shared" si="189"/>
        <v>2</v>
      </c>
      <c r="BF94" s="38">
        <f>AVERAGE(BE$6:BE94)</f>
        <v>4.8354430379746836</v>
      </c>
      <c r="BG94" s="32"/>
      <c r="BH94" s="9"/>
      <c r="BI94" s="32"/>
      <c r="BJ94" s="9">
        <v>79</v>
      </c>
      <c r="BK94" s="7">
        <v>0.37528336618561298</v>
      </c>
      <c r="BL94" s="9">
        <f t="shared" si="190"/>
        <v>4</v>
      </c>
      <c r="BM94" s="38">
        <f>AVERAGE(BL$6:BL94)</f>
        <v>5.443037974683544</v>
      </c>
      <c r="BN94" s="32"/>
      <c r="BO94" s="9"/>
      <c r="BP94" s="32"/>
      <c r="BQ94" s="9">
        <v>79</v>
      </c>
      <c r="BR94" s="7">
        <v>1.6554678790271282E-2</v>
      </c>
      <c r="BS94" s="9">
        <f t="shared" si="191"/>
        <v>1</v>
      </c>
      <c r="BT94" s="38">
        <f>AVERAGE(BS$6:BS94)</f>
        <v>4.9367088607594933</v>
      </c>
      <c r="BU94" s="32"/>
      <c r="BV94" s="9"/>
      <c r="BW94" s="32"/>
      <c r="BX94" s="9">
        <v>79</v>
      </c>
      <c r="BY94" s="7">
        <v>0.82460621715290472</v>
      </c>
      <c r="BZ94" s="9">
        <f t="shared" si="192"/>
        <v>7</v>
      </c>
      <c r="CA94" s="38">
        <f>AVERAGE(BZ$6:BZ94)</f>
        <v>4.9367088607594933</v>
      </c>
      <c r="CB94" s="32"/>
      <c r="CC94" s="9"/>
      <c r="CD94" s="32"/>
      <c r="CE94" s="9">
        <v>79</v>
      </c>
      <c r="CF94" s="7">
        <v>0.9192493234295398</v>
      </c>
      <c r="CG94" s="9">
        <f t="shared" si="193"/>
        <v>8</v>
      </c>
      <c r="CH94" s="38">
        <f>AVERAGE(CG$6:CG94)</f>
        <v>4.8607594936708862</v>
      </c>
      <c r="CI94" s="32"/>
      <c r="CJ94" s="9"/>
      <c r="CK94" s="32"/>
      <c r="CL94" s="9">
        <v>79</v>
      </c>
      <c r="CM94" s="7">
        <v>0.89966890550567769</v>
      </c>
      <c r="CN94" s="9">
        <f t="shared" si="194"/>
        <v>8</v>
      </c>
      <c r="CO94" s="38">
        <f>AVERAGE(CN$6:CN94)</f>
        <v>4.6329113924050631</v>
      </c>
      <c r="CP94" s="32"/>
      <c r="CQ94" s="9"/>
      <c r="CR94" s="32"/>
      <c r="CS94" s="9">
        <v>79</v>
      </c>
      <c r="CT94" s="7">
        <v>0.34044931843527593</v>
      </c>
      <c r="CU94" s="9">
        <f t="shared" si="195"/>
        <v>4</v>
      </c>
      <c r="CV94" s="38">
        <f>AVERAGE(CU$6:CU94)</f>
        <v>5.0253164556962027</v>
      </c>
      <c r="CW94" s="32"/>
      <c r="CX94" s="9"/>
      <c r="CY94" s="32"/>
      <c r="CZ94" s="9">
        <v>79</v>
      </c>
      <c r="DA94" s="7">
        <v>0.42879673434072174</v>
      </c>
      <c r="DB94" s="9">
        <f t="shared" si="196"/>
        <v>4</v>
      </c>
      <c r="DC94" s="38">
        <f>AVERAGE(DB$6:DB94)</f>
        <v>4.9746835443037973</v>
      </c>
      <c r="DD94" s="32"/>
      <c r="DE94" s="9"/>
      <c r="DF94" s="32"/>
      <c r="DG94" s="9">
        <v>79</v>
      </c>
      <c r="DH94" s="7">
        <v>0.54333914740709588</v>
      </c>
      <c r="DI94" s="9">
        <f t="shared" si="197"/>
        <v>5</v>
      </c>
      <c r="DJ94" s="38">
        <f>AVERAGE(DI$6:DI94)</f>
        <v>5.2531645569620249</v>
      </c>
      <c r="DK94" s="32"/>
      <c r="DL94" s="9"/>
      <c r="DM94" s="32"/>
      <c r="DN94" s="9">
        <v>79</v>
      </c>
      <c r="DO94" s="7">
        <v>0.29707283264724538</v>
      </c>
      <c r="DP94" s="9">
        <f t="shared" si="198"/>
        <v>4</v>
      </c>
      <c r="DQ94" s="38">
        <f>AVERAGE(DP$6:DP94)</f>
        <v>5.1645569620253164</v>
      </c>
      <c r="DR94" s="32"/>
      <c r="DS94" s="9"/>
      <c r="DT94" s="32"/>
      <c r="DU94" s="9">
        <v>79</v>
      </c>
      <c r="DV94" s="7">
        <v>0.15734765809611417</v>
      </c>
      <c r="DW94" s="9">
        <f t="shared" si="199"/>
        <v>3</v>
      </c>
      <c r="DX94" s="38">
        <f>AVERAGE(DW$6:DW94)</f>
        <v>4.962025316455696</v>
      </c>
      <c r="DY94" s="32"/>
      <c r="DZ94" s="9"/>
      <c r="EA94" s="32"/>
      <c r="EB94" s="9">
        <v>79</v>
      </c>
      <c r="EC94" s="7">
        <v>0.52722546353470534</v>
      </c>
      <c r="ED94" s="9">
        <f t="shared" si="200"/>
        <v>5</v>
      </c>
      <c r="EE94" s="38">
        <f>AVERAGE(ED$6:ED94)</f>
        <v>4.6455696202531644</v>
      </c>
      <c r="EF94" s="32"/>
      <c r="EG94" s="9"/>
      <c r="EH94" s="32"/>
      <c r="EI94" s="9">
        <v>79</v>
      </c>
      <c r="EJ94" s="7">
        <v>0.78602758995839395</v>
      </c>
      <c r="EK94" s="9">
        <f t="shared" si="201"/>
        <v>7</v>
      </c>
      <c r="EL94" s="38">
        <f>AVERAGE(EK$6:EK94)</f>
        <v>4.8354430379746836</v>
      </c>
      <c r="EM94" s="32"/>
      <c r="EN94" s="9"/>
      <c r="EO94" s="32"/>
      <c r="EP94" s="9">
        <v>79</v>
      </c>
      <c r="EQ94" s="7">
        <v>0.9030245014000684</v>
      </c>
      <c r="ER94" s="9">
        <f t="shared" si="202"/>
        <v>8</v>
      </c>
      <c r="ES94" s="38">
        <f>AVERAGE(ER$6:ER94)</f>
        <v>5</v>
      </c>
      <c r="ET94" s="32"/>
    </row>
    <row r="95" spans="5:150" x14ac:dyDescent="0.25">
      <c r="E95" s="7"/>
      <c r="L95" s="32"/>
      <c r="M95" s="9">
        <v>80</v>
      </c>
      <c r="N95" s="7">
        <v>0.78232456397381611</v>
      </c>
      <c r="O95" s="9">
        <f t="shared" si="203"/>
        <v>7</v>
      </c>
      <c r="P95" s="38">
        <f>AVERAGE(O$6:O95)</f>
        <v>5.0750000000000002</v>
      </c>
      <c r="Q95" s="32"/>
      <c r="R95" s="9"/>
      <c r="S95" s="32"/>
      <c r="T95" s="9">
        <v>80</v>
      </c>
      <c r="U95" s="7">
        <v>0.84577027158229612</v>
      </c>
      <c r="V95" s="9">
        <f t="shared" si="184"/>
        <v>7</v>
      </c>
      <c r="W95" s="38">
        <f>AVERAGE(V$6:V95)</f>
        <v>4.7625000000000002</v>
      </c>
      <c r="X95" s="32"/>
      <c r="Y95" s="9"/>
      <c r="Z95" s="32"/>
      <c r="AA95" s="9">
        <v>80</v>
      </c>
      <c r="AB95" s="7">
        <v>0.93937327541061677</v>
      </c>
      <c r="AC95" s="9">
        <f t="shared" si="185"/>
        <v>9</v>
      </c>
      <c r="AD95" s="38">
        <f>AVERAGE(AC$6:AC95)</f>
        <v>4.9249999999999998</v>
      </c>
      <c r="AE95" s="32"/>
      <c r="AF95" s="9"/>
      <c r="AG95" s="32"/>
      <c r="AH95" s="9">
        <v>80</v>
      </c>
      <c r="AI95" s="7">
        <v>0.64154662025975995</v>
      </c>
      <c r="AJ95" s="9">
        <f t="shared" si="186"/>
        <v>6</v>
      </c>
      <c r="AK95" s="38">
        <f>AVERAGE(AJ$6:AJ95)</f>
        <v>4.9625000000000004</v>
      </c>
      <c r="AL95" s="32"/>
      <c r="AM95" s="9"/>
      <c r="AN95" s="32"/>
      <c r="AO95" s="9">
        <v>80</v>
      </c>
      <c r="AP95" s="7">
        <v>0.68176512749050744</v>
      </c>
      <c r="AQ95" s="9">
        <f t="shared" si="187"/>
        <v>6</v>
      </c>
      <c r="AR95" s="38">
        <f>AVERAGE(AQ$6:AQ95)</f>
        <v>5.2125000000000004</v>
      </c>
      <c r="AS95" s="32"/>
      <c r="AT95" s="9"/>
      <c r="AU95" s="32"/>
      <c r="AV95" s="9">
        <v>80</v>
      </c>
      <c r="AW95" s="7">
        <v>4.2067992471856996E-2</v>
      </c>
      <c r="AX95" s="9">
        <f t="shared" si="188"/>
        <v>2</v>
      </c>
      <c r="AY95" s="38">
        <f>AVERAGE(AX$6:AX95)</f>
        <v>4.8624999999999998</v>
      </c>
      <c r="AZ95" s="32"/>
      <c r="BA95" s="9"/>
      <c r="BB95" s="32"/>
      <c r="BC95" s="9">
        <v>80</v>
      </c>
      <c r="BD95" s="7">
        <v>5.3196843771729618E-2</v>
      </c>
      <c r="BE95" s="9">
        <f t="shared" si="189"/>
        <v>2</v>
      </c>
      <c r="BF95" s="38">
        <f>AVERAGE(BE$6:BE95)</f>
        <v>4.8</v>
      </c>
      <c r="BG95" s="32"/>
      <c r="BH95" s="9"/>
      <c r="BI95" s="32"/>
      <c r="BJ95" s="9">
        <v>80</v>
      </c>
      <c r="BK95" s="7">
        <v>0.27093358561978675</v>
      </c>
      <c r="BL95" s="9">
        <f t="shared" si="190"/>
        <v>4</v>
      </c>
      <c r="BM95" s="38">
        <f>AVERAGE(BL$6:BL95)</f>
        <v>5.4249999999999998</v>
      </c>
      <c r="BN95" s="32"/>
      <c r="BO95" s="9"/>
      <c r="BP95" s="32"/>
      <c r="BQ95" s="9">
        <v>80</v>
      </c>
      <c r="BR95" s="7">
        <v>0.52565957701881416</v>
      </c>
      <c r="BS95" s="9">
        <f t="shared" si="191"/>
        <v>5</v>
      </c>
      <c r="BT95" s="38">
        <f>AVERAGE(BS$6:BS95)</f>
        <v>4.9375</v>
      </c>
      <c r="BU95" s="32"/>
      <c r="BV95" s="9"/>
      <c r="BW95" s="32"/>
      <c r="BX95" s="9">
        <v>80</v>
      </c>
      <c r="BY95" s="7">
        <v>0.67220183377503417</v>
      </c>
      <c r="BZ95" s="9">
        <f t="shared" si="192"/>
        <v>6</v>
      </c>
      <c r="CA95" s="38">
        <f>AVERAGE(BZ$6:BZ95)</f>
        <v>4.95</v>
      </c>
      <c r="CB95" s="32"/>
      <c r="CC95" s="9"/>
      <c r="CD95" s="32"/>
      <c r="CE95" s="9">
        <v>80</v>
      </c>
      <c r="CF95" s="7">
        <v>0.41340156624210067</v>
      </c>
      <c r="CG95" s="9">
        <f t="shared" si="193"/>
        <v>4</v>
      </c>
      <c r="CH95" s="38">
        <f>AVERAGE(CG$6:CG95)</f>
        <v>4.8499999999999996</v>
      </c>
      <c r="CI95" s="32"/>
      <c r="CJ95" s="9"/>
      <c r="CK95" s="32"/>
      <c r="CL95" s="9">
        <v>80</v>
      </c>
      <c r="CM95" s="7">
        <v>0.32948633545311168</v>
      </c>
      <c r="CN95" s="9">
        <f t="shared" si="194"/>
        <v>4</v>
      </c>
      <c r="CO95" s="38">
        <f>AVERAGE(CN$6:CN95)</f>
        <v>4.625</v>
      </c>
      <c r="CP95" s="32"/>
      <c r="CQ95" s="9"/>
      <c r="CR95" s="32"/>
      <c r="CS95" s="9">
        <v>80</v>
      </c>
      <c r="CT95" s="7">
        <v>0.33139899419620633</v>
      </c>
      <c r="CU95" s="9">
        <f t="shared" si="195"/>
        <v>4</v>
      </c>
      <c r="CV95" s="38">
        <f>AVERAGE(CU$6:CU95)</f>
        <v>5.0125000000000002</v>
      </c>
      <c r="CW95" s="32"/>
      <c r="CX95" s="9"/>
      <c r="CY95" s="32"/>
      <c r="CZ95" s="9">
        <v>80</v>
      </c>
      <c r="DA95" s="7">
        <v>0.83031818550080061</v>
      </c>
      <c r="DB95" s="9">
        <f t="shared" si="196"/>
        <v>7</v>
      </c>
      <c r="DC95" s="38">
        <f>AVERAGE(DB$6:DB95)</f>
        <v>5</v>
      </c>
      <c r="DD95" s="32"/>
      <c r="DE95" s="9"/>
      <c r="DF95" s="32"/>
      <c r="DG95" s="9">
        <v>80</v>
      </c>
      <c r="DH95" s="7">
        <v>0.81966091468348168</v>
      </c>
      <c r="DI95" s="9">
        <f t="shared" si="197"/>
        <v>7</v>
      </c>
      <c r="DJ95" s="38">
        <f>AVERAGE(DI$6:DI95)</f>
        <v>5.2750000000000004</v>
      </c>
      <c r="DK95" s="32"/>
      <c r="DL95" s="9"/>
      <c r="DM95" s="32"/>
      <c r="DN95" s="9">
        <v>80</v>
      </c>
      <c r="DO95" s="7">
        <v>0.99250881336047314</v>
      </c>
      <c r="DP95" s="9">
        <f t="shared" si="198"/>
        <v>11</v>
      </c>
      <c r="DQ95" s="38">
        <f>AVERAGE(DP$6:DP95)</f>
        <v>5.2374999999999998</v>
      </c>
      <c r="DR95" s="32"/>
      <c r="DS95" s="9"/>
      <c r="DT95" s="32"/>
      <c r="DU95" s="9">
        <v>80</v>
      </c>
      <c r="DV95" s="7">
        <v>3.4043919527903199E-2</v>
      </c>
      <c r="DW95" s="9">
        <f t="shared" si="199"/>
        <v>1</v>
      </c>
      <c r="DX95" s="38">
        <f>AVERAGE(DW$6:DW95)</f>
        <v>4.9124999999999996</v>
      </c>
      <c r="DY95" s="32"/>
      <c r="DZ95" s="9"/>
      <c r="EA95" s="32"/>
      <c r="EB95" s="9">
        <v>80</v>
      </c>
      <c r="EC95" s="7">
        <v>0.52111372040235437</v>
      </c>
      <c r="ED95" s="9">
        <f t="shared" si="200"/>
        <v>5</v>
      </c>
      <c r="EE95" s="38">
        <f>AVERAGE(ED$6:ED95)</f>
        <v>4.6500000000000004</v>
      </c>
      <c r="EF95" s="32"/>
      <c r="EG95" s="9"/>
      <c r="EH95" s="32"/>
      <c r="EI95" s="9">
        <v>80</v>
      </c>
      <c r="EJ95" s="7">
        <v>0.80420882860198617</v>
      </c>
      <c r="EK95" s="9">
        <f t="shared" si="201"/>
        <v>7</v>
      </c>
      <c r="EL95" s="38">
        <f>AVERAGE(EK$6:EK95)</f>
        <v>4.8624999999999998</v>
      </c>
      <c r="EM95" s="32"/>
      <c r="EN95" s="9"/>
      <c r="EO95" s="32"/>
      <c r="EP95" s="9">
        <v>80</v>
      </c>
      <c r="EQ95" s="7">
        <v>5.761822106433101E-2</v>
      </c>
      <c r="ER95" s="9">
        <f t="shared" si="202"/>
        <v>2</v>
      </c>
      <c r="ES95" s="38">
        <f>AVERAGE(ER$6:ER95)</f>
        <v>4.9625000000000004</v>
      </c>
      <c r="ET95" s="32"/>
    </row>
    <row r="96" spans="5:150" x14ac:dyDescent="0.25">
      <c r="E96" s="7"/>
      <c r="L96" s="32">
        <v>11</v>
      </c>
      <c r="M96" s="9">
        <v>81</v>
      </c>
      <c r="N96" s="7">
        <v>0.89715044654440135</v>
      </c>
      <c r="O96" s="9">
        <f t="shared" si="203"/>
        <v>8</v>
      </c>
      <c r="P96" s="38">
        <f>AVERAGE(O$6:O96)</f>
        <v>5.1111111111111107</v>
      </c>
      <c r="Q96" s="32">
        <f t="shared" ref="Q96" si="224">SUM(O96:O103)</f>
        <v>42</v>
      </c>
      <c r="R96" s="9"/>
      <c r="S96" s="32">
        <v>11</v>
      </c>
      <c r="T96" s="9">
        <v>81</v>
      </c>
      <c r="U96" s="7">
        <v>0.57168986491160467</v>
      </c>
      <c r="V96" s="9">
        <f t="shared" si="184"/>
        <v>5</v>
      </c>
      <c r="W96" s="38">
        <f>AVERAGE(V$6:V96)</f>
        <v>4.7654320987654319</v>
      </c>
      <c r="X96" s="32">
        <f t="shared" ref="X96" si="225">SUM(V96:V103)</f>
        <v>40</v>
      </c>
      <c r="Y96" s="9"/>
      <c r="Z96" s="32">
        <v>11</v>
      </c>
      <c r="AA96" s="9">
        <v>81</v>
      </c>
      <c r="AB96" s="7">
        <v>0.77723683649674058</v>
      </c>
      <c r="AC96" s="9">
        <f t="shared" si="185"/>
        <v>7</v>
      </c>
      <c r="AD96" s="38">
        <f>AVERAGE(AC$6:AC96)</f>
        <v>4.9506172839506171</v>
      </c>
      <c r="AE96" s="32">
        <f t="shared" ref="AE96" si="226">SUM(AC96:AC103)</f>
        <v>42</v>
      </c>
      <c r="AF96" s="9"/>
      <c r="AG96" s="32">
        <v>11</v>
      </c>
      <c r="AH96" s="9">
        <v>81</v>
      </c>
      <c r="AI96" s="7">
        <v>0.39650943380547687</v>
      </c>
      <c r="AJ96" s="9">
        <f t="shared" si="186"/>
        <v>4</v>
      </c>
      <c r="AK96" s="38">
        <f>AVERAGE(AJ$6:AJ96)</f>
        <v>4.9506172839506171</v>
      </c>
      <c r="AL96" s="32">
        <f t="shared" ref="AL96" si="227">SUM(AJ96:AJ103)</f>
        <v>34</v>
      </c>
      <c r="AM96" s="9"/>
      <c r="AN96" s="32">
        <v>11</v>
      </c>
      <c r="AO96" s="9">
        <v>81</v>
      </c>
      <c r="AP96" s="7">
        <v>0.1090406576404348</v>
      </c>
      <c r="AQ96" s="9">
        <f t="shared" si="187"/>
        <v>2</v>
      </c>
      <c r="AR96" s="38">
        <f>AVERAGE(AQ$6:AQ96)</f>
        <v>5.1728395061728394</v>
      </c>
      <c r="AS96" s="32">
        <f t="shared" ref="AS96" si="228">SUM(AQ96:AQ103)</f>
        <v>40</v>
      </c>
      <c r="AT96" s="9"/>
      <c r="AU96" s="32">
        <v>11</v>
      </c>
      <c r="AV96" s="9">
        <v>81</v>
      </c>
      <c r="AW96" s="7">
        <v>0.66501612303545699</v>
      </c>
      <c r="AX96" s="9">
        <f t="shared" si="188"/>
        <v>6</v>
      </c>
      <c r="AY96" s="38">
        <f>AVERAGE(AX$6:AX96)</f>
        <v>4.8765432098765435</v>
      </c>
      <c r="AZ96" s="32">
        <f t="shared" ref="AZ96" si="229">SUM(AX96:AX103)</f>
        <v>33</v>
      </c>
      <c r="BA96" s="9"/>
      <c r="BB96" s="32">
        <v>11</v>
      </c>
      <c r="BC96" s="9">
        <v>81</v>
      </c>
      <c r="BD96" s="7">
        <v>0.39637454246985726</v>
      </c>
      <c r="BE96" s="9">
        <f t="shared" si="189"/>
        <v>4</v>
      </c>
      <c r="BF96" s="38">
        <f>AVERAGE(BE$6:BE96)</f>
        <v>4.7901234567901234</v>
      </c>
      <c r="BG96" s="32">
        <f t="shared" ref="BG96" si="230">SUM(BE96:BE103)</f>
        <v>36</v>
      </c>
      <c r="BH96" s="9"/>
      <c r="BI96" s="32">
        <v>11</v>
      </c>
      <c r="BJ96" s="9">
        <v>81</v>
      </c>
      <c r="BK96" s="7">
        <v>0.53079659421928227</v>
      </c>
      <c r="BL96" s="9">
        <f t="shared" si="190"/>
        <v>5</v>
      </c>
      <c r="BM96" s="38">
        <f>AVERAGE(BL$6:BL96)</f>
        <v>5.4197530864197532</v>
      </c>
      <c r="BN96" s="32">
        <f t="shared" ref="BN96" si="231">SUM(BL96:BL103)</f>
        <v>32</v>
      </c>
      <c r="BO96" s="9"/>
      <c r="BP96" s="32">
        <v>11</v>
      </c>
      <c r="BQ96" s="9">
        <v>81</v>
      </c>
      <c r="BR96" s="7">
        <v>0.71468216471839696</v>
      </c>
      <c r="BS96" s="9">
        <f t="shared" si="191"/>
        <v>6</v>
      </c>
      <c r="BT96" s="38">
        <f>AVERAGE(BS$6:BS96)</f>
        <v>4.9506172839506171</v>
      </c>
      <c r="BU96" s="32">
        <f t="shared" ref="BU96" si="232">SUM(BS96:BS103)</f>
        <v>33</v>
      </c>
      <c r="BV96" s="9"/>
      <c r="BW96" s="32">
        <v>11</v>
      </c>
      <c r="BX96" s="9">
        <v>81</v>
      </c>
      <c r="BY96" s="7">
        <v>0.18394439417170361</v>
      </c>
      <c r="BZ96" s="9">
        <f t="shared" si="192"/>
        <v>3</v>
      </c>
      <c r="CA96" s="38">
        <f>AVERAGE(BZ$6:BZ96)</f>
        <v>4.9259259259259256</v>
      </c>
      <c r="CB96" s="32">
        <f t="shared" ref="CB96" si="233">SUM(BZ96:BZ103)</f>
        <v>44</v>
      </c>
      <c r="CC96" s="9"/>
      <c r="CD96" s="32">
        <v>11</v>
      </c>
      <c r="CE96" s="9">
        <v>81</v>
      </c>
      <c r="CF96" s="7">
        <v>0.90180661471094936</v>
      </c>
      <c r="CG96" s="9">
        <f t="shared" si="193"/>
        <v>8</v>
      </c>
      <c r="CH96" s="38">
        <f>AVERAGE(CG$6:CG96)</f>
        <v>4.8888888888888893</v>
      </c>
      <c r="CI96" s="32">
        <f t="shared" ref="CI96" si="234">SUM(CG96:CG103)</f>
        <v>50</v>
      </c>
      <c r="CJ96" s="9"/>
      <c r="CK96" s="32">
        <v>11</v>
      </c>
      <c r="CL96" s="9">
        <v>81</v>
      </c>
      <c r="CM96" s="7">
        <v>0.68546275838161819</v>
      </c>
      <c r="CN96" s="9">
        <f t="shared" si="194"/>
        <v>6</v>
      </c>
      <c r="CO96" s="38">
        <f>AVERAGE(CN$6:CN96)</f>
        <v>4.6419753086419755</v>
      </c>
      <c r="CP96" s="32">
        <f t="shared" ref="CP96" si="235">SUM(CN96:CN103)</f>
        <v>45</v>
      </c>
      <c r="CQ96" s="9"/>
      <c r="CR96" s="32">
        <v>11</v>
      </c>
      <c r="CS96" s="9">
        <v>81</v>
      </c>
      <c r="CT96" s="7">
        <v>0.67048201107536443</v>
      </c>
      <c r="CU96" s="9">
        <f t="shared" si="195"/>
        <v>6</v>
      </c>
      <c r="CV96" s="38">
        <f>AVERAGE(CU$6:CU96)</f>
        <v>5.0246913580246915</v>
      </c>
      <c r="CW96" s="32">
        <f t="shared" ref="CW96" si="236">SUM(CU96:CU103)</f>
        <v>42</v>
      </c>
      <c r="CX96" s="9"/>
      <c r="CY96" s="32">
        <v>11</v>
      </c>
      <c r="CZ96" s="9">
        <v>81</v>
      </c>
      <c r="DA96" s="7">
        <v>0.61386553294141777</v>
      </c>
      <c r="DB96" s="9">
        <f t="shared" si="196"/>
        <v>5</v>
      </c>
      <c r="DC96" s="38">
        <f>AVERAGE(DB$6:DB96)</f>
        <v>5</v>
      </c>
      <c r="DD96" s="32">
        <f t="shared" ref="DD96" si="237">SUM(DB96:DB103)</f>
        <v>41</v>
      </c>
      <c r="DE96" s="9"/>
      <c r="DF96" s="32">
        <v>11</v>
      </c>
      <c r="DG96" s="9">
        <v>81</v>
      </c>
      <c r="DH96" s="7">
        <v>0.12537106202216819</v>
      </c>
      <c r="DI96" s="9">
        <f t="shared" si="197"/>
        <v>3</v>
      </c>
      <c r="DJ96" s="38">
        <f>AVERAGE(DI$6:DI96)</f>
        <v>5.2469135802469138</v>
      </c>
      <c r="DK96" s="32">
        <f t="shared" ref="DK96" si="238">SUM(DI96:DI103)</f>
        <v>40</v>
      </c>
      <c r="DL96" s="9"/>
      <c r="DM96" s="32">
        <v>11</v>
      </c>
      <c r="DN96" s="9">
        <v>81</v>
      </c>
      <c r="DO96" s="7">
        <v>0.14203888067277148</v>
      </c>
      <c r="DP96" s="9">
        <f t="shared" si="198"/>
        <v>3</v>
      </c>
      <c r="DQ96" s="38">
        <f>AVERAGE(DP$6:DP96)</f>
        <v>5.2098765432098766</v>
      </c>
      <c r="DR96" s="32">
        <f t="shared" ref="DR96" si="239">SUM(DP96:DP103)</f>
        <v>35</v>
      </c>
      <c r="DS96" s="9"/>
      <c r="DT96" s="32">
        <v>11</v>
      </c>
      <c r="DU96" s="9">
        <v>81</v>
      </c>
      <c r="DV96" s="7">
        <v>0.53261855689925142</v>
      </c>
      <c r="DW96" s="9">
        <f t="shared" si="199"/>
        <v>5</v>
      </c>
      <c r="DX96" s="38">
        <f>AVERAGE(DW$6:DW96)</f>
        <v>4.9135802469135799</v>
      </c>
      <c r="DY96" s="32">
        <f t="shared" ref="DY96" si="240">SUM(DW96:DW103)</f>
        <v>49</v>
      </c>
      <c r="DZ96" s="9"/>
      <c r="EA96" s="32">
        <v>11</v>
      </c>
      <c r="EB96" s="9">
        <v>81</v>
      </c>
      <c r="EC96" s="7">
        <v>0.37356600724160671</v>
      </c>
      <c r="ED96" s="9">
        <f t="shared" si="200"/>
        <v>4</v>
      </c>
      <c r="EE96" s="38">
        <f>AVERAGE(ED$6:ED96)</f>
        <v>4.6419753086419755</v>
      </c>
      <c r="EF96" s="32">
        <f t="shared" ref="EF96" si="241">SUM(ED96:ED103)</f>
        <v>36</v>
      </c>
      <c r="EG96" s="9"/>
      <c r="EH96" s="32">
        <v>11</v>
      </c>
      <c r="EI96" s="9">
        <v>81</v>
      </c>
      <c r="EJ96" s="7">
        <v>0.16754673005198129</v>
      </c>
      <c r="EK96" s="9">
        <f t="shared" si="201"/>
        <v>3</v>
      </c>
      <c r="EL96" s="38">
        <f>AVERAGE(EK$6:EK96)</f>
        <v>4.8395061728395063</v>
      </c>
      <c r="EM96" s="32">
        <f t="shared" ref="EM96" si="242">SUM(EK96:EK103)</f>
        <v>41</v>
      </c>
      <c r="EN96" s="9"/>
      <c r="EO96" s="32">
        <v>11</v>
      </c>
      <c r="EP96" s="9">
        <v>81</v>
      </c>
      <c r="EQ96" s="7">
        <v>0.67338384815957397</v>
      </c>
      <c r="ER96" s="9">
        <f t="shared" si="202"/>
        <v>6</v>
      </c>
      <c r="ES96" s="38">
        <f>AVERAGE(ER$6:ER96)</f>
        <v>4.9753086419753085</v>
      </c>
      <c r="ET96" s="32">
        <f t="shared" ref="ET96" si="243">SUM(ER96:ER103)</f>
        <v>37</v>
      </c>
    </row>
    <row r="97" spans="5:150" x14ac:dyDescent="0.25">
      <c r="E97" s="7"/>
      <c r="L97" s="32"/>
      <c r="M97" s="9">
        <v>82</v>
      </c>
      <c r="N97" s="7">
        <v>3.2479970395797864E-2</v>
      </c>
      <c r="O97" s="9">
        <f t="shared" si="203"/>
        <v>1</v>
      </c>
      <c r="P97" s="38">
        <f>AVERAGE(O$6:O97)</f>
        <v>5.0609756097560972</v>
      </c>
      <c r="Q97" s="32"/>
      <c r="R97" s="9"/>
      <c r="S97" s="32"/>
      <c r="T97" s="9">
        <v>82</v>
      </c>
      <c r="U97" s="7">
        <v>0.42028042950551026</v>
      </c>
      <c r="V97" s="9">
        <f t="shared" si="184"/>
        <v>4</v>
      </c>
      <c r="W97" s="38">
        <f>AVERAGE(V$6:V97)</f>
        <v>4.7560975609756095</v>
      </c>
      <c r="X97" s="32"/>
      <c r="Y97" s="9"/>
      <c r="Z97" s="32"/>
      <c r="AA97" s="9">
        <v>82</v>
      </c>
      <c r="AB97" s="7">
        <v>0.27697079585050233</v>
      </c>
      <c r="AC97" s="9">
        <f t="shared" si="185"/>
        <v>4</v>
      </c>
      <c r="AD97" s="38">
        <f>AVERAGE(AC$6:AC97)</f>
        <v>4.9390243902439028</v>
      </c>
      <c r="AE97" s="32"/>
      <c r="AF97" s="9"/>
      <c r="AG97" s="32"/>
      <c r="AH97" s="9">
        <v>82</v>
      </c>
      <c r="AI97" s="7">
        <v>0.202358409849694</v>
      </c>
      <c r="AJ97" s="9">
        <f t="shared" si="186"/>
        <v>3</v>
      </c>
      <c r="AK97" s="38">
        <f>AVERAGE(AJ$6:AJ97)</f>
        <v>4.9268292682926829</v>
      </c>
      <c r="AL97" s="32"/>
      <c r="AM97" s="9"/>
      <c r="AN97" s="32"/>
      <c r="AO97" s="9">
        <v>82</v>
      </c>
      <c r="AP97" s="7">
        <v>0.15593868485302664</v>
      </c>
      <c r="AQ97" s="9">
        <f t="shared" si="187"/>
        <v>3</v>
      </c>
      <c r="AR97" s="38">
        <f>AVERAGE(AQ$6:AQ97)</f>
        <v>5.1463414634146343</v>
      </c>
      <c r="AS97" s="32"/>
      <c r="AT97" s="9"/>
      <c r="AU97" s="32"/>
      <c r="AV97" s="9">
        <v>82</v>
      </c>
      <c r="AW97" s="7">
        <v>0.48330336328945123</v>
      </c>
      <c r="AX97" s="9">
        <f t="shared" si="188"/>
        <v>5</v>
      </c>
      <c r="AY97" s="38">
        <f>AVERAGE(AX$6:AX97)</f>
        <v>4.8780487804878048</v>
      </c>
      <c r="AZ97" s="32"/>
      <c r="BA97" s="9"/>
      <c r="BB97" s="32"/>
      <c r="BC97" s="9">
        <v>82</v>
      </c>
      <c r="BD97" s="7">
        <v>0.13288937200559303</v>
      </c>
      <c r="BE97" s="9">
        <f t="shared" si="189"/>
        <v>3</v>
      </c>
      <c r="BF97" s="38">
        <f>AVERAGE(BE$6:BE97)</f>
        <v>4.7682926829268295</v>
      </c>
      <c r="BG97" s="32"/>
      <c r="BH97" s="9"/>
      <c r="BI97" s="32"/>
      <c r="BJ97" s="9">
        <v>82</v>
      </c>
      <c r="BK97" s="7">
        <v>0.36024602295947261</v>
      </c>
      <c r="BL97" s="9">
        <f t="shared" si="190"/>
        <v>4</v>
      </c>
      <c r="BM97" s="38">
        <f>AVERAGE(BL$6:BL97)</f>
        <v>5.4024390243902438</v>
      </c>
      <c r="BN97" s="32"/>
      <c r="BO97" s="9"/>
      <c r="BP97" s="32"/>
      <c r="BQ97" s="9">
        <v>82</v>
      </c>
      <c r="BR97" s="7">
        <v>6.13148300035391E-2</v>
      </c>
      <c r="BS97" s="9">
        <f t="shared" si="191"/>
        <v>2</v>
      </c>
      <c r="BT97" s="38">
        <f>AVERAGE(BS$6:BS97)</f>
        <v>4.9146341463414638</v>
      </c>
      <c r="BU97" s="32"/>
      <c r="BV97" s="9"/>
      <c r="BW97" s="32"/>
      <c r="BX97" s="9">
        <v>82</v>
      </c>
      <c r="BY97" s="7">
        <v>0.73136299845646136</v>
      </c>
      <c r="BZ97" s="9">
        <f t="shared" si="192"/>
        <v>6</v>
      </c>
      <c r="CA97" s="38">
        <f>AVERAGE(BZ$6:BZ97)</f>
        <v>4.9390243902439028</v>
      </c>
      <c r="CB97" s="32"/>
      <c r="CC97" s="9"/>
      <c r="CD97" s="32"/>
      <c r="CE97" s="9">
        <v>82</v>
      </c>
      <c r="CF97" s="7">
        <v>0.43040657616802491</v>
      </c>
      <c r="CG97" s="9">
        <f t="shared" si="193"/>
        <v>4</v>
      </c>
      <c r="CH97" s="38">
        <f>AVERAGE(CG$6:CG97)</f>
        <v>4.8780487804878048</v>
      </c>
      <c r="CI97" s="32"/>
      <c r="CJ97" s="9"/>
      <c r="CK97" s="32"/>
      <c r="CL97" s="9">
        <v>82</v>
      </c>
      <c r="CM97" s="7">
        <v>1.3320566562470049E-2</v>
      </c>
      <c r="CN97" s="9">
        <f t="shared" si="194"/>
        <v>1</v>
      </c>
      <c r="CO97" s="38">
        <f>AVERAGE(CN$6:CN97)</f>
        <v>4.5975609756097562</v>
      </c>
      <c r="CP97" s="32"/>
      <c r="CQ97" s="9"/>
      <c r="CR97" s="32"/>
      <c r="CS97" s="9">
        <v>82</v>
      </c>
      <c r="CT97" s="7">
        <v>0.29823570384178311</v>
      </c>
      <c r="CU97" s="9">
        <f t="shared" si="195"/>
        <v>4</v>
      </c>
      <c r="CV97" s="38">
        <f>AVERAGE(CU$6:CU97)</f>
        <v>5.0121951219512191</v>
      </c>
      <c r="CW97" s="32"/>
      <c r="CX97" s="9"/>
      <c r="CY97" s="32"/>
      <c r="CZ97" s="9">
        <v>82</v>
      </c>
      <c r="DA97" s="7">
        <v>0.14074946485925466</v>
      </c>
      <c r="DB97" s="9">
        <f t="shared" si="196"/>
        <v>3</v>
      </c>
      <c r="DC97" s="38">
        <f>AVERAGE(DB$6:DB97)</f>
        <v>4.975609756097561</v>
      </c>
      <c r="DD97" s="32"/>
      <c r="DE97" s="9"/>
      <c r="DF97" s="32"/>
      <c r="DG97" s="9">
        <v>82</v>
      </c>
      <c r="DH97" s="7">
        <v>0.56609694144572131</v>
      </c>
      <c r="DI97" s="9">
        <f t="shared" si="197"/>
        <v>5</v>
      </c>
      <c r="DJ97" s="38">
        <f>AVERAGE(DI$6:DI97)</f>
        <v>5.2439024390243905</v>
      </c>
      <c r="DK97" s="32"/>
      <c r="DL97" s="9"/>
      <c r="DM97" s="32"/>
      <c r="DN97" s="9">
        <v>82</v>
      </c>
      <c r="DO97" s="7">
        <v>0.15002354650641792</v>
      </c>
      <c r="DP97" s="9">
        <f t="shared" si="198"/>
        <v>3</v>
      </c>
      <c r="DQ97" s="38">
        <f>AVERAGE(DP$6:DP97)</f>
        <v>5.1829268292682924</v>
      </c>
      <c r="DR97" s="32"/>
      <c r="DS97" s="9"/>
      <c r="DT97" s="32"/>
      <c r="DU97" s="9">
        <v>82</v>
      </c>
      <c r="DV97" s="7">
        <v>0.29855680314358324</v>
      </c>
      <c r="DW97" s="9">
        <f t="shared" si="199"/>
        <v>4</v>
      </c>
      <c r="DX97" s="38">
        <f>AVERAGE(DW$6:DW97)</f>
        <v>4.9024390243902438</v>
      </c>
      <c r="DY97" s="32"/>
      <c r="DZ97" s="9"/>
      <c r="EA97" s="32"/>
      <c r="EB97" s="9">
        <v>82</v>
      </c>
      <c r="EC97" s="7">
        <v>0.38649372945656069</v>
      </c>
      <c r="ED97" s="9">
        <f t="shared" si="200"/>
        <v>4</v>
      </c>
      <c r="EE97" s="38">
        <f>AVERAGE(ED$6:ED97)</f>
        <v>4.6341463414634143</v>
      </c>
      <c r="EF97" s="32"/>
      <c r="EG97" s="9"/>
      <c r="EH97" s="32"/>
      <c r="EI97" s="9">
        <v>82</v>
      </c>
      <c r="EJ97" s="7">
        <v>0.28656597679946572</v>
      </c>
      <c r="EK97" s="9">
        <f t="shared" si="201"/>
        <v>4</v>
      </c>
      <c r="EL97" s="38">
        <f>AVERAGE(EK$6:EK97)</f>
        <v>4.8292682926829267</v>
      </c>
      <c r="EM97" s="32"/>
      <c r="EN97" s="9"/>
      <c r="EO97" s="32"/>
      <c r="EP97" s="9">
        <v>82</v>
      </c>
      <c r="EQ97" s="7">
        <v>0.79268180220969953</v>
      </c>
      <c r="ER97" s="9">
        <f t="shared" si="202"/>
        <v>7</v>
      </c>
      <c r="ES97" s="38">
        <f>AVERAGE(ER$6:ER97)</f>
        <v>5</v>
      </c>
      <c r="ET97" s="32"/>
    </row>
    <row r="98" spans="5:150" x14ac:dyDescent="0.25">
      <c r="E98" s="7"/>
      <c r="L98" s="32"/>
      <c r="M98" s="9">
        <v>83</v>
      </c>
      <c r="N98" s="7">
        <v>0.72718475386500359</v>
      </c>
      <c r="O98" s="9">
        <f t="shared" si="203"/>
        <v>6</v>
      </c>
      <c r="P98" s="38">
        <f>AVERAGE(O$6:O98)</f>
        <v>5.072289156626506</v>
      </c>
      <c r="Q98" s="32"/>
      <c r="R98" s="9"/>
      <c r="S98" s="32"/>
      <c r="T98" s="9">
        <v>83</v>
      </c>
      <c r="U98" s="7">
        <v>0.44442119536688551</v>
      </c>
      <c r="V98" s="9">
        <f t="shared" si="184"/>
        <v>5</v>
      </c>
      <c r="W98" s="38">
        <f>AVERAGE(V$6:V98)</f>
        <v>4.7590361445783129</v>
      </c>
      <c r="X98" s="32"/>
      <c r="Y98" s="9"/>
      <c r="Z98" s="32"/>
      <c r="AA98" s="9">
        <v>83</v>
      </c>
      <c r="AB98" s="7">
        <v>0.63995986303780228</v>
      </c>
      <c r="AC98" s="9">
        <f t="shared" si="185"/>
        <v>6</v>
      </c>
      <c r="AD98" s="38">
        <f>AVERAGE(AC$6:AC98)</f>
        <v>4.9518072289156629</v>
      </c>
      <c r="AE98" s="32"/>
      <c r="AF98" s="9"/>
      <c r="AG98" s="32"/>
      <c r="AH98" s="9">
        <v>83</v>
      </c>
      <c r="AI98" s="7">
        <v>0.21458107262151316</v>
      </c>
      <c r="AJ98" s="9">
        <f t="shared" si="186"/>
        <v>3</v>
      </c>
      <c r="AK98" s="38">
        <f>AVERAGE(AJ$6:AJ98)</f>
        <v>4.903614457831325</v>
      </c>
      <c r="AL98" s="32"/>
      <c r="AM98" s="9"/>
      <c r="AN98" s="32"/>
      <c r="AO98" s="9">
        <v>83</v>
      </c>
      <c r="AP98" s="7">
        <v>0.30842269933782518</v>
      </c>
      <c r="AQ98" s="9">
        <f t="shared" si="187"/>
        <v>4</v>
      </c>
      <c r="AR98" s="38">
        <f>AVERAGE(AQ$6:AQ98)</f>
        <v>5.1325301204819276</v>
      </c>
      <c r="AS98" s="32"/>
      <c r="AT98" s="9"/>
      <c r="AU98" s="32"/>
      <c r="AV98" s="9">
        <v>83</v>
      </c>
      <c r="AW98" s="7">
        <v>0.90123209409648553</v>
      </c>
      <c r="AX98" s="9">
        <f t="shared" si="188"/>
        <v>8</v>
      </c>
      <c r="AY98" s="38">
        <f>AVERAGE(AX$6:AX98)</f>
        <v>4.9156626506024095</v>
      </c>
      <c r="AZ98" s="32"/>
      <c r="BA98" s="9"/>
      <c r="BB98" s="32"/>
      <c r="BC98" s="9">
        <v>83</v>
      </c>
      <c r="BD98" s="7">
        <v>0.43802658290951513</v>
      </c>
      <c r="BE98" s="9">
        <f t="shared" si="189"/>
        <v>4</v>
      </c>
      <c r="BF98" s="38">
        <f>AVERAGE(BE$6:BE98)</f>
        <v>4.7590361445783129</v>
      </c>
      <c r="BG98" s="32"/>
      <c r="BH98" s="9"/>
      <c r="BI98" s="32"/>
      <c r="BJ98" s="9">
        <v>83</v>
      </c>
      <c r="BK98" s="7">
        <v>0.52670182415749878</v>
      </c>
      <c r="BL98" s="9">
        <f t="shared" si="190"/>
        <v>5</v>
      </c>
      <c r="BM98" s="38">
        <f>AVERAGE(BL$6:BL98)</f>
        <v>5.3975903614457827</v>
      </c>
      <c r="BN98" s="32"/>
      <c r="BO98" s="9"/>
      <c r="BP98" s="32"/>
      <c r="BQ98" s="9">
        <v>83</v>
      </c>
      <c r="BR98" s="7">
        <v>0.57713745185174048</v>
      </c>
      <c r="BS98" s="9">
        <f t="shared" si="191"/>
        <v>5</v>
      </c>
      <c r="BT98" s="38">
        <f>AVERAGE(BS$6:BS98)</f>
        <v>4.9156626506024095</v>
      </c>
      <c r="BU98" s="32"/>
      <c r="BV98" s="9"/>
      <c r="BW98" s="32"/>
      <c r="BX98" s="9">
        <v>83</v>
      </c>
      <c r="BY98" s="7">
        <v>0.6519442051067017</v>
      </c>
      <c r="BZ98" s="9">
        <f t="shared" si="192"/>
        <v>6</v>
      </c>
      <c r="CA98" s="38">
        <f>AVERAGE(BZ$6:BZ98)</f>
        <v>4.9518072289156629</v>
      </c>
      <c r="CB98" s="32"/>
      <c r="CC98" s="9"/>
      <c r="CD98" s="32"/>
      <c r="CE98" s="9">
        <v>83</v>
      </c>
      <c r="CF98" s="7">
        <v>0.65938672656193376</v>
      </c>
      <c r="CG98" s="9">
        <f t="shared" si="193"/>
        <v>6</v>
      </c>
      <c r="CH98" s="38">
        <f>AVERAGE(CG$6:CG98)</f>
        <v>4.8915662650602414</v>
      </c>
      <c r="CI98" s="32"/>
      <c r="CJ98" s="9"/>
      <c r="CK98" s="32"/>
      <c r="CL98" s="9">
        <v>83</v>
      </c>
      <c r="CM98" s="7">
        <v>0.86009177970117889</v>
      </c>
      <c r="CN98" s="9">
        <f t="shared" si="194"/>
        <v>7</v>
      </c>
      <c r="CO98" s="38">
        <f>AVERAGE(CN$6:CN98)</f>
        <v>4.6265060240963853</v>
      </c>
      <c r="CP98" s="32"/>
      <c r="CQ98" s="9"/>
      <c r="CR98" s="32"/>
      <c r="CS98" s="9">
        <v>83</v>
      </c>
      <c r="CT98" s="7">
        <v>0.59138747854740359</v>
      </c>
      <c r="CU98" s="9">
        <f t="shared" si="195"/>
        <v>5</v>
      </c>
      <c r="CV98" s="38">
        <f>AVERAGE(CU$6:CU98)</f>
        <v>5.0120481927710845</v>
      </c>
      <c r="CW98" s="32"/>
      <c r="CX98" s="9"/>
      <c r="CY98" s="32"/>
      <c r="CZ98" s="9">
        <v>83</v>
      </c>
      <c r="DA98" s="7">
        <v>0.48597440254525281</v>
      </c>
      <c r="DB98" s="9">
        <f t="shared" si="196"/>
        <v>5</v>
      </c>
      <c r="DC98" s="38">
        <f>AVERAGE(DB$6:DB98)</f>
        <v>4.975903614457831</v>
      </c>
      <c r="DD98" s="32"/>
      <c r="DE98" s="9"/>
      <c r="DF98" s="32"/>
      <c r="DG98" s="9">
        <v>83</v>
      </c>
      <c r="DH98" s="7">
        <v>0.53992484457558021</v>
      </c>
      <c r="DI98" s="9">
        <f t="shared" si="197"/>
        <v>5</v>
      </c>
      <c r="DJ98" s="38">
        <f>AVERAGE(DI$6:DI98)</f>
        <v>5.2409638554216871</v>
      </c>
      <c r="DK98" s="32"/>
      <c r="DL98" s="9"/>
      <c r="DM98" s="32"/>
      <c r="DN98" s="9">
        <v>83</v>
      </c>
      <c r="DO98" s="7">
        <v>0.26212645083433017</v>
      </c>
      <c r="DP98" s="9">
        <f t="shared" si="198"/>
        <v>3</v>
      </c>
      <c r="DQ98" s="38">
        <f>AVERAGE(DP$6:DP98)</f>
        <v>5.1566265060240966</v>
      </c>
      <c r="DR98" s="32"/>
      <c r="DS98" s="9"/>
      <c r="DT98" s="32"/>
      <c r="DU98" s="9">
        <v>83</v>
      </c>
      <c r="DV98" s="7">
        <v>0.75675361897447146</v>
      </c>
      <c r="DW98" s="9">
        <f t="shared" si="199"/>
        <v>6</v>
      </c>
      <c r="DX98" s="38">
        <f>AVERAGE(DW$6:DW98)</f>
        <v>4.9156626506024095</v>
      </c>
      <c r="DY98" s="32"/>
      <c r="DZ98" s="9"/>
      <c r="EA98" s="32"/>
      <c r="EB98" s="9">
        <v>83</v>
      </c>
      <c r="EC98" s="7">
        <v>4.4270670157857239E-2</v>
      </c>
      <c r="ED98" s="9">
        <f t="shared" si="200"/>
        <v>2</v>
      </c>
      <c r="EE98" s="38">
        <f>AVERAGE(ED$6:ED98)</f>
        <v>4.6024096385542173</v>
      </c>
      <c r="EF98" s="32"/>
      <c r="EG98" s="9"/>
      <c r="EH98" s="32"/>
      <c r="EI98" s="9">
        <v>83</v>
      </c>
      <c r="EJ98" s="7">
        <v>0.58147805175394751</v>
      </c>
      <c r="EK98" s="9">
        <f t="shared" si="201"/>
        <v>5</v>
      </c>
      <c r="EL98" s="38">
        <f>AVERAGE(EK$6:EK98)</f>
        <v>4.831325301204819</v>
      </c>
      <c r="EM98" s="32"/>
      <c r="EN98" s="9"/>
      <c r="EO98" s="32"/>
      <c r="EP98" s="9">
        <v>83</v>
      </c>
      <c r="EQ98" s="7">
        <v>0.23112813802435994</v>
      </c>
      <c r="ER98" s="9">
        <f t="shared" si="202"/>
        <v>3</v>
      </c>
      <c r="ES98" s="38">
        <f>AVERAGE(ER$6:ER98)</f>
        <v>4.975903614457831</v>
      </c>
      <c r="ET98" s="32"/>
    </row>
    <row r="99" spans="5:150" x14ac:dyDescent="0.25">
      <c r="E99" s="7"/>
      <c r="L99" s="32"/>
      <c r="M99" s="9">
        <v>84</v>
      </c>
      <c r="N99" s="7">
        <v>0.50014824050595053</v>
      </c>
      <c r="O99" s="9">
        <f t="shared" si="203"/>
        <v>5</v>
      </c>
      <c r="P99" s="38">
        <f>AVERAGE(O$6:O99)</f>
        <v>5.0714285714285712</v>
      </c>
      <c r="Q99" s="32"/>
      <c r="R99" s="9"/>
      <c r="S99" s="32"/>
      <c r="T99" s="9">
        <v>84</v>
      </c>
      <c r="U99" s="7">
        <v>0.87691561397514306</v>
      </c>
      <c r="V99" s="9">
        <f t="shared" si="184"/>
        <v>8</v>
      </c>
      <c r="W99" s="38">
        <f>AVERAGE(V$6:V99)</f>
        <v>4.7976190476190474</v>
      </c>
      <c r="X99" s="32"/>
      <c r="Y99" s="9"/>
      <c r="Z99" s="32"/>
      <c r="AA99" s="9">
        <v>84</v>
      </c>
      <c r="AB99" s="7">
        <v>0.57932946449727751</v>
      </c>
      <c r="AC99" s="9">
        <f t="shared" si="185"/>
        <v>5</v>
      </c>
      <c r="AD99" s="38">
        <f>AVERAGE(AC$6:AC99)</f>
        <v>4.9523809523809526</v>
      </c>
      <c r="AE99" s="32"/>
      <c r="AF99" s="9"/>
      <c r="AG99" s="32"/>
      <c r="AH99" s="9">
        <v>84</v>
      </c>
      <c r="AI99" s="7">
        <v>0.50925240010838024</v>
      </c>
      <c r="AJ99" s="9">
        <f t="shared" si="186"/>
        <v>5</v>
      </c>
      <c r="AK99" s="38">
        <f>AVERAGE(AJ$6:AJ99)</f>
        <v>4.9047619047619051</v>
      </c>
      <c r="AL99" s="32"/>
      <c r="AM99" s="9"/>
      <c r="AN99" s="32"/>
      <c r="AO99" s="9">
        <v>84</v>
      </c>
      <c r="AP99" s="7">
        <v>0.83769015900907107</v>
      </c>
      <c r="AQ99" s="9">
        <f t="shared" si="187"/>
        <v>7</v>
      </c>
      <c r="AR99" s="38">
        <f>AVERAGE(AQ$6:AQ99)</f>
        <v>5.1547619047619051</v>
      </c>
      <c r="AS99" s="32"/>
      <c r="AT99" s="9"/>
      <c r="AU99" s="32"/>
      <c r="AV99" s="9">
        <v>84</v>
      </c>
      <c r="AW99" s="7">
        <v>0.1345284597191494</v>
      </c>
      <c r="AX99" s="9">
        <f t="shared" si="188"/>
        <v>3</v>
      </c>
      <c r="AY99" s="38">
        <f>AVERAGE(AX$6:AX99)</f>
        <v>4.8928571428571432</v>
      </c>
      <c r="AZ99" s="32"/>
      <c r="BA99" s="9"/>
      <c r="BB99" s="32"/>
      <c r="BC99" s="9">
        <v>84</v>
      </c>
      <c r="BD99" s="7">
        <v>0.58369019842939451</v>
      </c>
      <c r="BE99" s="9">
        <f t="shared" si="189"/>
        <v>5</v>
      </c>
      <c r="BF99" s="38">
        <f>AVERAGE(BE$6:BE99)</f>
        <v>4.7619047619047619</v>
      </c>
      <c r="BG99" s="32"/>
      <c r="BH99" s="9"/>
      <c r="BI99" s="32"/>
      <c r="BJ99" s="9">
        <v>84</v>
      </c>
      <c r="BK99" s="7">
        <v>0.25143944114097394</v>
      </c>
      <c r="BL99" s="9">
        <f t="shared" si="190"/>
        <v>3</v>
      </c>
      <c r="BM99" s="38">
        <f>AVERAGE(BL$6:BL99)</f>
        <v>5.3690476190476186</v>
      </c>
      <c r="BN99" s="32"/>
      <c r="BO99" s="9"/>
      <c r="BP99" s="32"/>
      <c r="BQ99" s="9">
        <v>84</v>
      </c>
      <c r="BR99" s="7">
        <v>0.22578770367545076</v>
      </c>
      <c r="BS99" s="9">
        <f t="shared" si="191"/>
        <v>3</v>
      </c>
      <c r="BT99" s="38">
        <f>AVERAGE(BS$6:BS99)</f>
        <v>4.8928571428571432</v>
      </c>
      <c r="BU99" s="32"/>
      <c r="BV99" s="9"/>
      <c r="BW99" s="32"/>
      <c r="BX99" s="9">
        <v>84</v>
      </c>
      <c r="BY99" s="7">
        <v>0.7512656299804803</v>
      </c>
      <c r="BZ99" s="9">
        <f t="shared" si="192"/>
        <v>6</v>
      </c>
      <c r="CA99" s="38">
        <f>AVERAGE(BZ$6:BZ99)</f>
        <v>4.9642857142857144</v>
      </c>
      <c r="CB99" s="32"/>
      <c r="CC99" s="9"/>
      <c r="CD99" s="32"/>
      <c r="CE99" s="9">
        <v>84</v>
      </c>
      <c r="CF99" s="7">
        <v>0.58416417942498811</v>
      </c>
      <c r="CG99" s="9">
        <f t="shared" si="193"/>
        <v>5</v>
      </c>
      <c r="CH99" s="38">
        <f>AVERAGE(CG$6:CG99)</f>
        <v>4.8928571428571432</v>
      </c>
      <c r="CI99" s="32"/>
      <c r="CJ99" s="9"/>
      <c r="CK99" s="32"/>
      <c r="CL99" s="9">
        <v>84</v>
      </c>
      <c r="CM99" s="7">
        <v>0.94726654613623396</v>
      </c>
      <c r="CN99" s="9">
        <f t="shared" si="194"/>
        <v>9</v>
      </c>
      <c r="CO99" s="38">
        <f>AVERAGE(CN$6:CN99)</f>
        <v>4.6785714285714288</v>
      </c>
      <c r="CP99" s="32"/>
      <c r="CQ99" s="9"/>
      <c r="CR99" s="32"/>
      <c r="CS99" s="9">
        <v>84</v>
      </c>
      <c r="CT99" s="7">
        <v>0.56455145194195211</v>
      </c>
      <c r="CU99" s="9">
        <f t="shared" si="195"/>
        <v>5</v>
      </c>
      <c r="CV99" s="38">
        <f>AVERAGE(CU$6:CU99)</f>
        <v>5.0119047619047619</v>
      </c>
      <c r="CW99" s="32"/>
      <c r="CX99" s="9"/>
      <c r="CY99" s="32"/>
      <c r="CZ99" s="9">
        <v>84</v>
      </c>
      <c r="DA99" s="7">
        <v>0.2768173108343035</v>
      </c>
      <c r="DB99" s="9">
        <f t="shared" si="196"/>
        <v>4</v>
      </c>
      <c r="DC99" s="38">
        <f>AVERAGE(DB$6:DB99)</f>
        <v>4.9642857142857144</v>
      </c>
      <c r="DD99" s="32"/>
      <c r="DE99" s="9"/>
      <c r="DF99" s="32"/>
      <c r="DG99" s="9">
        <v>84</v>
      </c>
      <c r="DH99" s="7">
        <v>6.129495645291172E-2</v>
      </c>
      <c r="DI99" s="9">
        <f t="shared" si="197"/>
        <v>2</v>
      </c>
      <c r="DJ99" s="38">
        <f>AVERAGE(DI$6:DI99)</f>
        <v>5.2023809523809526</v>
      </c>
      <c r="DK99" s="32"/>
      <c r="DL99" s="9"/>
      <c r="DM99" s="32"/>
      <c r="DN99" s="9">
        <v>84</v>
      </c>
      <c r="DO99" s="7">
        <v>0.99512217970914207</v>
      </c>
      <c r="DP99" s="9">
        <f t="shared" si="198"/>
        <v>12</v>
      </c>
      <c r="DQ99" s="38">
        <f>AVERAGE(DP$6:DP99)</f>
        <v>5.2380952380952381</v>
      </c>
      <c r="DR99" s="32"/>
      <c r="DS99" s="9"/>
      <c r="DT99" s="32"/>
      <c r="DU99" s="9">
        <v>84</v>
      </c>
      <c r="DV99" s="7">
        <v>0.72811377188190818</v>
      </c>
      <c r="DW99" s="9">
        <f t="shared" si="199"/>
        <v>6</v>
      </c>
      <c r="DX99" s="38">
        <f>AVERAGE(DW$6:DW99)</f>
        <v>4.9285714285714288</v>
      </c>
      <c r="DY99" s="32"/>
      <c r="DZ99" s="9"/>
      <c r="EA99" s="32"/>
      <c r="EB99" s="9">
        <v>84</v>
      </c>
      <c r="EC99" s="7">
        <v>0.79939513132558204</v>
      </c>
      <c r="ED99" s="9">
        <f t="shared" si="200"/>
        <v>7</v>
      </c>
      <c r="EE99" s="38">
        <f>AVERAGE(ED$6:ED99)</f>
        <v>4.6309523809523814</v>
      </c>
      <c r="EF99" s="32"/>
      <c r="EG99" s="9"/>
      <c r="EH99" s="32"/>
      <c r="EI99" s="9">
        <v>84</v>
      </c>
      <c r="EJ99" s="7">
        <v>0.46119665331207216</v>
      </c>
      <c r="EK99" s="9">
        <f t="shared" si="201"/>
        <v>5</v>
      </c>
      <c r="EL99" s="38">
        <f>AVERAGE(EK$6:EK99)</f>
        <v>4.833333333333333</v>
      </c>
      <c r="EM99" s="32"/>
      <c r="EN99" s="9"/>
      <c r="EO99" s="32"/>
      <c r="EP99" s="9">
        <v>84</v>
      </c>
      <c r="EQ99" s="7">
        <v>3.0991082574473694E-2</v>
      </c>
      <c r="ER99" s="9">
        <f t="shared" si="202"/>
        <v>1</v>
      </c>
      <c r="ES99" s="38">
        <f>AVERAGE(ER$6:ER99)</f>
        <v>4.9285714285714288</v>
      </c>
      <c r="ET99" s="32"/>
    </row>
    <row r="100" spans="5:150" x14ac:dyDescent="0.25">
      <c r="E100" s="7"/>
      <c r="L100" s="32"/>
      <c r="M100" s="9">
        <v>85</v>
      </c>
      <c r="N100" s="7">
        <v>0.57634386059362441</v>
      </c>
      <c r="O100" s="9">
        <f t="shared" si="203"/>
        <v>5</v>
      </c>
      <c r="P100" s="38">
        <f>AVERAGE(O$6:O100)</f>
        <v>5.0705882352941174</v>
      </c>
      <c r="Q100" s="32"/>
      <c r="R100" s="9"/>
      <c r="S100" s="32"/>
      <c r="T100" s="9">
        <v>85</v>
      </c>
      <c r="U100" s="7">
        <v>0.61154119722777978</v>
      </c>
      <c r="V100" s="9">
        <f t="shared" si="184"/>
        <v>5</v>
      </c>
      <c r="W100" s="38">
        <f>AVERAGE(V$6:V100)</f>
        <v>4.8</v>
      </c>
      <c r="X100" s="32"/>
      <c r="Y100" s="9"/>
      <c r="Z100" s="32"/>
      <c r="AA100" s="9">
        <v>85</v>
      </c>
      <c r="AB100" s="7">
        <v>0.3546742161270231</v>
      </c>
      <c r="AC100" s="9">
        <f t="shared" si="185"/>
        <v>4</v>
      </c>
      <c r="AD100" s="38">
        <f>AVERAGE(AC$6:AC100)</f>
        <v>4.9411764705882355</v>
      </c>
      <c r="AE100" s="32"/>
      <c r="AF100" s="9"/>
      <c r="AG100" s="32"/>
      <c r="AH100" s="9">
        <v>85</v>
      </c>
      <c r="AI100" s="7">
        <v>0.26498605584492907</v>
      </c>
      <c r="AJ100" s="9">
        <f t="shared" si="186"/>
        <v>3</v>
      </c>
      <c r="AK100" s="38">
        <f>AVERAGE(AJ$6:AJ100)</f>
        <v>4.882352941176471</v>
      </c>
      <c r="AL100" s="32"/>
      <c r="AM100" s="9"/>
      <c r="AN100" s="32"/>
      <c r="AO100" s="9">
        <v>85</v>
      </c>
      <c r="AP100" s="7">
        <v>0.41043188970070332</v>
      </c>
      <c r="AQ100" s="9">
        <f t="shared" si="187"/>
        <v>4</v>
      </c>
      <c r="AR100" s="38">
        <f>AVERAGE(AQ$6:AQ100)</f>
        <v>5.1411764705882357</v>
      </c>
      <c r="AS100" s="32"/>
      <c r="AT100" s="9"/>
      <c r="AU100" s="32"/>
      <c r="AV100" s="9">
        <v>85</v>
      </c>
      <c r="AW100" s="7">
        <v>0.28215675539104268</v>
      </c>
      <c r="AX100" s="9">
        <f t="shared" si="188"/>
        <v>4</v>
      </c>
      <c r="AY100" s="38">
        <f>AVERAGE(AX$6:AX100)</f>
        <v>4.882352941176471</v>
      </c>
      <c r="AZ100" s="32"/>
      <c r="BA100" s="9"/>
      <c r="BB100" s="32"/>
      <c r="BC100" s="9">
        <v>85</v>
      </c>
      <c r="BD100" s="7">
        <v>0.60045219116727822</v>
      </c>
      <c r="BE100" s="9">
        <f t="shared" si="189"/>
        <v>5</v>
      </c>
      <c r="BF100" s="38">
        <f>AVERAGE(BE$6:BE100)</f>
        <v>4.7647058823529411</v>
      </c>
      <c r="BG100" s="32"/>
      <c r="BH100" s="9"/>
      <c r="BI100" s="32"/>
      <c r="BJ100" s="9">
        <v>85</v>
      </c>
      <c r="BK100" s="7">
        <v>0.49131218763068318</v>
      </c>
      <c r="BL100" s="9">
        <f t="shared" si="190"/>
        <v>5</v>
      </c>
      <c r="BM100" s="38">
        <f>AVERAGE(BL$6:BL100)</f>
        <v>5.3647058823529408</v>
      </c>
      <c r="BN100" s="32"/>
      <c r="BO100" s="9"/>
      <c r="BP100" s="32"/>
      <c r="BQ100" s="9">
        <v>85</v>
      </c>
      <c r="BR100" s="7">
        <v>0.28066739288624376</v>
      </c>
      <c r="BS100" s="9">
        <f t="shared" si="191"/>
        <v>4</v>
      </c>
      <c r="BT100" s="38">
        <f>AVERAGE(BS$6:BS100)</f>
        <v>4.882352941176471</v>
      </c>
      <c r="BU100" s="32"/>
      <c r="BV100" s="9"/>
      <c r="BW100" s="32"/>
      <c r="BX100" s="9">
        <v>85</v>
      </c>
      <c r="BY100" s="7">
        <v>0.90179943997645751</v>
      </c>
      <c r="BZ100" s="9">
        <f t="shared" si="192"/>
        <v>8</v>
      </c>
      <c r="CA100" s="38">
        <f>AVERAGE(BZ$6:BZ100)</f>
        <v>5</v>
      </c>
      <c r="CB100" s="32"/>
      <c r="CC100" s="9"/>
      <c r="CD100" s="32"/>
      <c r="CE100" s="9">
        <v>85</v>
      </c>
      <c r="CF100" s="7">
        <v>0.84455240389797837</v>
      </c>
      <c r="CG100" s="9">
        <f t="shared" si="193"/>
        <v>7</v>
      </c>
      <c r="CH100" s="38">
        <f>AVERAGE(CG$6:CG100)</f>
        <v>4.9176470588235297</v>
      </c>
      <c r="CI100" s="32"/>
      <c r="CJ100" s="9"/>
      <c r="CK100" s="32"/>
      <c r="CL100" s="9">
        <v>85</v>
      </c>
      <c r="CM100" s="7">
        <v>0.84227126018959098</v>
      </c>
      <c r="CN100" s="9">
        <f t="shared" si="194"/>
        <v>7</v>
      </c>
      <c r="CO100" s="38">
        <f>AVERAGE(CN$6:CN100)</f>
        <v>4.7058823529411766</v>
      </c>
      <c r="CP100" s="32"/>
      <c r="CQ100" s="9"/>
      <c r="CR100" s="32"/>
      <c r="CS100" s="9">
        <v>85</v>
      </c>
      <c r="CT100" s="7">
        <v>0.74399775013444014</v>
      </c>
      <c r="CU100" s="9">
        <f t="shared" si="195"/>
        <v>6</v>
      </c>
      <c r="CV100" s="38">
        <f>AVERAGE(CU$6:CU100)</f>
        <v>5.0235294117647058</v>
      </c>
      <c r="CW100" s="32"/>
      <c r="CX100" s="9"/>
      <c r="CY100" s="32"/>
      <c r="CZ100" s="9">
        <v>85</v>
      </c>
      <c r="DA100" s="7">
        <v>0.56091507969540544</v>
      </c>
      <c r="DB100" s="9">
        <f t="shared" si="196"/>
        <v>5</v>
      </c>
      <c r="DC100" s="38">
        <f>AVERAGE(DB$6:DB100)</f>
        <v>4.9647058823529413</v>
      </c>
      <c r="DD100" s="32"/>
      <c r="DE100" s="9"/>
      <c r="DF100" s="32"/>
      <c r="DG100" s="9">
        <v>85</v>
      </c>
      <c r="DH100" s="7">
        <v>0.56690257327863947</v>
      </c>
      <c r="DI100" s="9">
        <f t="shared" si="197"/>
        <v>5</v>
      </c>
      <c r="DJ100" s="38">
        <f>AVERAGE(DI$6:DI100)</f>
        <v>5.2</v>
      </c>
      <c r="DK100" s="32"/>
      <c r="DL100" s="9"/>
      <c r="DM100" s="32"/>
      <c r="DN100" s="9">
        <v>85</v>
      </c>
      <c r="DO100" s="7">
        <v>0.48792255023727193</v>
      </c>
      <c r="DP100" s="9">
        <f t="shared" si="198"/>
        <v>5</v>
      </c>
      <c r="DQ100" s="38">
        <f>AVERAGE(DP$6:DP100)</f>
        <v>5.2352941176470589</v>
      </c>
      <c r="DR100" s="32"/>
      <c r="DS100" s="9"/>
      <c r="DT100" s="32"/>
      <c r="DU100" s="9">
        <v>85</v>
      </c>
      <c r="DV100" s="7">
        <v>0.97859251921181567</v>
      </c>
      <c r="DW100" s="9">
        <f t="shared" si="199"/>
        <v>10</v>
      </c>
      <c r="DX100" s="38">
        <f>AVERAGE(DW$6:DW100)</f>
        <v>4.9882352941176471</v>
      </c>
      <c r="DY100" s="32"/>
      <c r="DZ100" s="9"/>
      <c r="EA100" s="32"/>
      <c r="EB100" s="9">
        <v>85</v>
      </c>
      <c r="EC100" s="7">
        <v>0.68849263270385563</v>
      </c>
      <c r="ED100" s="9">
        <f t="shared" si="200"/>
        <v>6</v>
      </c>
      <c r="EE100" s="38">
        <f>AVERAGE(ED$6:ED100)</f>
        <v>4.6470588235294121</v>
      </c>
      <c r="EF100" s="32"/>
      <c r="EG100" s="9"/>
      <c r="EH100" s="32"/>
      <c r="EI100" s="9">
        <v>85</v>
      </c>
      <c r="EJ100" s="7">
        <v>0.51627645574626513</v>
      </c>
      <c r="EK100" s="9">
        <f t="shared" si="201"/>
        <v>5</v>
      </c>
      <c r="EL100" s="38">
        <f>AVERAGE(EK$6:EK100)</f>
        <v>4.8352941176470585</v>
      </c>
      <c r="EM100" s="32"/>
      <c r="EN100" s="9"/>
      <c r="EO100" s="32"/>
      <c r="EP100" s="9">
        <v>85</v>
      </c>
      <c r="EQ100" s="7">
        <v>0.96040752588305622</v>
      </c>
      <c r="ER100" s="9">
        <f t="shared" si="202"/>
        <v>9</v>
      </c>
      <c r="ES100" s="38">
        <f>AVERAGE(ER$6:ER100)</f>
        <v>4.9764705882352942</v>
      </c>
      <c r="ET100" s="32"/>
    </row>
    <row r="101" spans="5:150" x14ac:dyDescent="0.25">
      <c r="E101" s="7"/>
      <c r="L101" s="32"/>
      <c r="M101" s="9">
        <v>86</v>
      </c>
      <c r="N101" s="7">
        <v>0.81708820574567653</v>
      </c>
      <c r="O101" s="9">
        <f t="shared" si="203"/>
        <v>7</v>
      </c>
      <c r="P101" s="38">
        <f>AVERAGE(O$6:O101)</f>
        <v>5.0930232558139537</v>
      </c>
      <c r="Q101" s="32"/>
      <c r="R101" s="9"/>
      <c r="S101" s="32"/>
      <c r="T101" s="9">
        <v>86</v>
      </c>
      <c r="U101" s="7">
        <v>0.9437165723356884</v>
      </c>
      <c r="V101" s="9">
        <f t="shared" si="184"/>
        <v>9</v>
      </c>
      <c r="W101" s="38">
        <f>AVERAGE(V$6:V101)</f>
        <v>4.8488372093023253</v>
      </c>
      <c r="X101" s="32"/>
      <c r="Y101" s="9"/>
      <c r="Z101" s="32"/>
      <c r="AA101" s="9">
        <v>86</v>
      </c>
      <c r="AB101" s="7">
        <v>0.65722130544600077</v>
      </c>
      <c r="AC101" s="9">
        <f t="shared" si="185"/>
        <v>6</v>
      </c>
      <c r="AD101" s="38">
        <f>AVERAGE(AC$6:AC101)</f>
        <v>4.9534883720930232</v>
      </c>
      <c r="AE101" s="32"/>
      <c r="AF101" s="9"/>
      <c r="AG101" s="32"/>
      <c r="AH101" s="9">
        <v>86</v>
      </c>
      <c r="AI101" s="7">
        <v>0.46781876016757451</v>
      </c>
      <c r="AJ101" s="9">
        <f t="shared" si="186"/>
        <v>5</v>
      </c>
      <c r="AK101" s="38">
        <f>AVERAGE(AJ$6:AJ101)</f>
        <v>4.8837209302325579</v>
      </c>
      <c r="AL101" s="32"/>
      <c r="AM101" s="9"/>
      <c r="AN101" s="32"/>
      <c r="AO101" s="9">
        <v>86</v>
      </c>
      <c r="AP101" s="7">
        <v>0.37242319589131512</v>
      </c>
      <c r="AQ101" s="9">
        <f t="shared" si="187"/>
        <v>4</v>
      </c>
      <c r="AR101" s="38">
        <f>AVERAGE(AQ$6:AQ101)</f>
        <v>5.1279069767441863</v>
      </c>
      <c r="AS101" s="32"/>
      <c r="AT101" s="9"/>
      <c r="AU101" s="32"/>
      <c r="AV101" s="9">
        <v>86</v>
      </c>
      <c r="AW101" s="7">
        <v>0.3107290264160838</v>
      </c>
      <c r="AX101" s="9">
        <f t="shared" si="188"/>
        <v>4</v>
      </c>
      <c r="AY101" s="38">
        <f>AVERAGE(AX$6:AX101)</f>
        <v>4.8720930232558137</v>
      </c>
      <c r="AZ101" s="32"/>
      <c r="BA101" s="9"/>
      <c r="BB101" s="32"/>
      <c r="BC101" s="9">
        <v>86</v>
      </c>
      <c r="BD101" s="7">
        <v>0.2328784511773847</v>
      </c>
      <c r="BE101" s="9">
        <f t="shared" si="189"/>
        <v>3</v>
      </c>
      <c r="BF101" s="38">
        <f>AVERAGE(BE$6:BE101)</f>
        <v>4.7441860465116283</v>
      </c>
      <c r="BG101" s="32"/>
      <c r="BH101" s="9"/>
      <c r="BI101" s="32"/>
      <c r="BJ101" s="9">
        <v>86</v>
      </c>
      <c r="BK101" s="7">
        <v>2.5776629830943421E-2</v>
      </c>
      <c r="BL101" s="9">
        <f t="shared" si="190"/>
        <v>1</v>
      </c>
      <c r="BM101" s="38">
        <f>AVERAGE(BL$6:BL101)</f>
        <v>5.3139534883720927</v>
      </c>
      <c r="BN101" s="32"/>
      <c r="BO101" s="9"/>
      <c r="BP101" s="32"/>
      <c r="BQ101" s="9">
        <v>86</v>
      </c>
      <c r="BR101" s="7">
        <v>0.54370733644464053</v>
      </c>
      <c r="BS101" s="9">
        <f t="shared" si="191"/>
        <v>5</v>
      </c>
      <c r="BT101" s="38">
        <f>AVERAGE(BS$6:BS101)</f>
        <v>4.8837209302325579</v>
      </c>
      <c r="BU101" s="32"/>
      <c r="BV101" s="9"/>
      <c r="BW101" s="32"/>
      <c r="BX101" s="9">
        <v>86</v>
      </c>
      <c r="BY101" s="7">
        <v>0.42671158790471964</v>
      </c>
      <c r="BZ101" s="9">
        <f t="shared" si="192"/>
        <v>4</v>
      </c>
      <c r="CA101" s="38">
        <f>AVERAGE(BZ$6:BZ101)</f>
        <v>4.9883720930232558</v>
      </c>
      <c r="CB101" s="32"/>
      <c r="CC101" s="9"/>
      <c r="CD101" s="32"/>
      <c r="CE101" s="9">
        <v>86</v>
      </c>
      <c r="CF101" s="7">
        <v>0.94448800748796202</v>
      </c>
      <c r="CG101" s="9">
        <f t="shared" si="193"/>
        <v>9</v>
      </c>
      <c r="CH101" s="38">
        <f>AVERAGE(CG$6:CG101)</f>
        <v>4.9651162790697674</v>
      </c>
      <c r="CI101" s="32"/>
      <c r="CJ101" s="9"/>
      <c r="CK101" s="32"/>
      <c r="CL101" s="9">
        <v>86</v>
      </c>
      <c r="CM101" s="7">
        <v>0.76969899766845629</v>
      </c>
      <c r="CN101" s="9">
        <f t="shared" si="194"/>
        <v>7</v>
      </c>
      <c r="CO101" s="38">
        <f>AVERAGE(CN$6:CN101)</f>
        <v>4.7325581395348841</v>
      </c>
      <c r="CP101" s="32"/>
      <c r="CQ101" s="9"/>
      <c r="CR101" s="32"/>
      <c r="CS101" s="9">
        <v>86</v>
      </c>
      <c r="CT101" s="7">
        <v>0.15884131926577538</v>
      </c>
      <c r="CU101" s="9">
        <f t="shared" si="195"/>
        <v>3</v>
      </c>
      <c r="CV101" s="38">
        <f>AVERAGE(CU$6:CU101)</f>
        <v>5</v>
      </c>
      <c r="CW101" s="32"/>
      <c r="CX101" s="9"/>
      <c r="CY101" s="32"/>
      <c r="CZ101" s="9">
        <v>86</v>
      </c>
      <c r="DA101" s="7">
        <v>0.87126604316290468</v>
      </c>
      <c r="DB101" s="9">
        <f t="shared" si="196"/>
        <v>8</v>
      </c>
      <c r="DC101" s="38">
        <f>AVERAGE(DB$6:DB101)</f>
        <v>5</v>
      </c>
      <c r="DD101" s="32"/>
      <c r="DE101" s="9"/>
      <c r="DF101" s="32"/>
      <c r="DG101" s="9">
        <v>86</v>
      </c>
      <c r="DH101" s="7">
        <v>0.9548252385284286</v>
      </c>
      <c r="DI101" s="9">
        <f t="shared" si="197"/>
        <v>9</v>
      </c>
      <c r="DJ101" s="38">
        <f>AVERAGE(DI$6:DI101)</f>
        <v>5.2441860465116283</v>
      </c>
      <c r="DK101" s="32"/>
      <c r="DL101" s="9"/>
      <c r="DM101" s="32"/>
      <c r="DN101" s="9">
        <v>86</v>
      </c>
      <c r="DO101" s="7">
        <v>0.28011337222415023</v>
      </c>
      <c r="DP101" s="9">
        <f t="shared" si="198"/>
        <v>4</v>
      </c>
      <c r="DQ101" s="38">
        <f>AVERAGE(DP$6:DP101)</f>
        <v>5.2209302325581399</v>
      </c>
      <c r="DR101" s="32"/>
      <c r="DS101" s="9"/>
      <c r="DT101" s="32"/>
      <c r="DU101" s="9">
        <v>86</v>
      </c>
      <c r="DV101" s="7">
        <v>0.97514739411417395</v>
      </c>
      <c r="DW101" s="9">
        <f t="shared" si="199"/>
        <v>10</v>
      </c>
      <c r="DX101" s="38">
        <f>AVERAGE(DW$6:DW101)</f>
        <v>5.0465116279069768</v>
      </c>
      <c r="DY101" s="32"/>
      <c r="DZ101" s="9"/>
      <c r="EA101" s="32"/>
      <c r="EB101" s="9">
        <v>86</v>
      </c>
      <c r="EC101" s="7">
        <v>0.5737058425147552</v>
      </c>
      <c r="ED101" s="9">
        <f t="shared" si="200"/>
        <v>5</v>
      </c>
      <c r="EE101" s="38">
        <f>AVERAGE(ED$6:ED101)</f>
        <v>4.6511627906976747</v>
      </c>
      <c r="EF101" s="32"/>
      <c r="EG101" s="9"/>
      <c r="EH101" s="32"/>
      <c r="EI101" s="9">
        <v>86</v>
      </c>
      <c r="EJ101" s="7">
        <v>0.88237470935564488</v>
      </c>
      <c r="EK101" s="9">
        <f t="shared" si="201"/>
        <v>8</v>
      </c>
      <c r="EL101" s="38">
        <f>AVERAGE(EK$6:EK101)</f>
        <v>4.8720930232558137</v>
      </c>
      <c r="EM101" s="32"/>
      <c r="EN101" s="9"/>
      <c r="EO101" s="32"/>
      <c r="EP101" s="9">
        <v>86</v>
      </c>
      <c r="EQ101" s="7">
        <v>0.60987582980305888</v>
      </c>
      <c r="ER101" s="9">
        <f t="shared" si="202"/>
        <v>5</v>
      </c>
      <c r="ES101" s="38">
        <f>AVERAGE(ER$6:ER101)</f>
        <v>4.9767441860465116</v>
      </c>
      <c r="ET101" s="32"/>
    </row>
    <row r="102" spans="5:150" x14ac:dyDescent="0.25">
      <c r="E102" s="7"/>
      <c r="L102" s="32"/>
      <c r="M102" s="9">
        <v>87</v>
      </c>
      <c r="N102" s="7">
        <v>0.80042595905251801</v>
      </c>
      <c r="O102" s="9">
        <f t="shared" si="203"/>
        <v>7</v>
      </c>
      <c r="P102" s="38">
        <f>AVERAGE(O$6:O102)</f>
        <v>5.1149425287356323</v>
      </c>
      <c r="Q102" s="32"/>
      <c r="R102" s="9"/>
      <c r="S102" s="32"/>
      <c r="T102" s="9">
        <v>87</v>
      </c>
      <c r="U102" s="7">
        <v>1.4034752908628434E-2</v>
      </c>
      <c r="V102" s="9">
        <f t="shared" si="184"/>
        <v>1</v>
      </c>
      <c r="W102" s="38">
        <f>AVERAGE(V$6:V102)</f>
        <v>4.804597701149425</v>
      </c>
      <c r="X102" s="32"/>
      <c r="Y102" s="9"/>
      <c r="Z102" s="32"/>
      <c r="AA102" s="9">
        <v>87</v>
      </c>
      <c r="AB102" s="7">
        <v>0.46897230471950024</v>
      </c>
      <c r="AC102" s="9">
        <f t="shared" si="185"/>
        <v>5</v>
      </c>
      <c r="AD102" s="38">
        <f>AVERAGE(AC$6:AC102)</f>
        <v>4.9540229885057467</v>
      </c>
      <c r="AE102" s="32"/>
      <c r="AF102" s="9"/>
      <c r="AG102" s="32"/>
      <c r="AH102" s="9">
        <v>87</v>
      </c>
      <c r="AI102" s="7">
        <v>0.92666148632997647</v>
      </c>
      <c r="AJ102" s="9">
        <f t="shared" si="186"/>
        <v>8</v>
      </c>
      <c r="AK102" s="38">
        <f>AVERAGE(AJ$6:AJ102)</f>
        <v>4.9195402298850572</v>
      </c>
      <c r="AL102" s="32"/>
      <c r="AM102" s="9"/>
      <c r="AN102" s="32"/>
      <c r="AO102" s="9">
        <v>87</v>
      </c>
      <c r="AP102" s="7">
        <v>0.79794588405638933</v>
      </c>
      <c r="AQ102" s="9">
        <f t="shared" si="187"/>
        <v>7</v>
      </c>
      <c r="AR102" s="38">
        <f>AVERAGE(AQ$6:AQ102)</f>
        <v>5.1494252873563218</v>
      </c>
      <c r="AS102" s="32"/>
      <c r="AT102" s="9"/>
      <c r="AU102" s="32"/>
      <c r="AV102" s="9">
        <v>87</v>
      </c>
      <c r="AW102" s="7">
        <v>2.5448604312259704E-2</v>
      </c>
      <c r="AX102" s="9">
        <f t="shared" si="188"/>
        <v>1</v>
      </c>
      <c r="AY102" s="38">
        <f>AVERAGE(AX$6:AX102)</f>
        <v>4.8275862068965516</v>
      </c>
      <c r="AZ102" s="32"/>
      <c r="BA102" s="9"/>
      <c r="BB102" s="32"/>
      <c r="BC102" s="9">
        <v>87</v>
      </c>
      <c r="BD102" s="7">
        <v>0.93240235638222657</v>
      </c>
      <c r="BE102" s="9">
        <f t="shared" si="189"/>
        <v>9</v>
      </c>
      <c r="BF102" s="38">
        <f>AVERAGE(BE$6:BE102)</f>
        <v>4.7931034482758621</v>
      </c>
      <c r="BG102" s="32"/>
      <c r="BH102" s="9"/>
      <c r="BI102" s="32"/>
      <c r="BJ102" s="9">
        <v>87</v>
      </c>
      <c r="BK102" s="7">
        <v>0.2749643629649654</v>
      </c>
      <c r="BL102" s="9">
        <f t="shared" si="190"/>
        <v>4</v>
      </c>
      <c r="BM102" s="38">
        <f>AVERAGE(BL$6:BL102)</f>
        <v>5.2988505747126435</v>
      </c>
      <c r="BN102" s="32"/>
      <c r="BO102" s="9"/>
      <c r="BP102" s="32"/>
      <c r="BQ102" s="9">
        <v>87</v>
      </c>
      <c r="BR102" s="7">
        <v>9.2782690189778805E-3</v>
      </c>
      <c r="BS102" s="9">
        <f t="shared" si="191"/>
        <v>1</v>
      </c>
      <c r="BT102" s="38">
        <f>AVERAGE(BS$6:BS102)</f>
        <v>4.8390804597701154</v>
      </c>
      <c r="BU102" s="32"/>
      <c r="BV102" s="9"/>
      <c r="BW102" s="32"/>
      <c r="BX102" s="9">
        <v>87</v>
      </c>
      <c r="BY102" s="7">
        <v>0.75646777095971629</v>
      </c>
      <c r="BZ102" s="9">
        <f t="shared" si="192"/>
        <v>6</v>
      </c>
      <c r="CA102" s="38">
        <f>AVERAGE(BZ$6:BZ102)</f>
        <v>5</v>
      </c>
      <c r="CB102" s="32"/>
      <c r="CC102" s="9"/>
      <c r="CD102" s="32"/>
      <c r="CE102" s="9">
        <v>87</v>
      </c>
      <c r="CF102" s="7">
        <v>0.41132385632954538</v>
      </c>
      <c r="CG102" s="9">
        <f t="shared" si="193"/>
        <v>4</v>
      </c>
      <c r="CH102" s="38">
        <f>AVERAGE(CG$6:CG102)</f>
        <v>4.9540229885057467</v>
      </c>
      <c r="CI102" s="32"/>
      <c r="CJ102" s="9"/>
      <c r="CK102" s="32"/>
      <c r="CL102" s="9">
        <v>87</v>
      </c>
      <c r="CM102" s="7">
        <v>0.39498379928409122</v>
      </c>
      <c r="CN102" s="9">
        <f t="shared" si="194"/>
        <v>4</v>
      </c>
      <c r="CO102" s="38">
        <f>AVERAGE(CN$6:CN102)</f>
        <v>4.7241379310344831</v>
      </c>
      <c r="CP102" s="32"/>
      <c r="CQ102" s="9"/>
      <c r="CR102" s="32"/>
      <c r="CS102" s="9">
        <v>87</v>
      </c>
      <c r="CT102" s="7">
        <v>0.80327942190342583</v>
      </c>
      <c r="CU102" s="9">
        <f t="shared" si="195"/>
        <v>7</v>
      </c>
      <c r="CV102" s="38">
        <f>AVERAGE(CU$6:CU102)</f>
        <v>5.0229885057471266</v>
      </c>
      <c r="CW102" s="32"/>
      <c r="CX102" s="9"/>
      <c r="CY102" s="32"/>
      <c r="CZ102" s="9">
        <v>87</v>
      </c>
      <c r="DA102" s="7">
        <v>0.70201222892501391</v>
      </c>
      <c r="DB102" s="9">
        <f t="shared" si="196"/>
        <v>6</v>
      </c>
      <c r="DC102" s="38">
        <f>AVERAGE(DB$6:DB102)</f>
        <v>5.0114942528735629</v>
      </c>
      <c r="DD102" s="32"/>
      <c r="DE102" s="9"/>
      <c r="DF102" s="32"/>
      <c r="DG102" s="9">
        <v>87</v>
      </c>
      <c r="DH102" s="7">
        <v>0.73499784216983244</v>
      </c>
      <c r="DI102" s="9">
        <f t="shared" si="197"/>
        <v>6</v>
      </c>
      <c r="DJ102" s="38">
        <f>AVERAGE(DI$6:DI102)</f>
        <v>5.2528735632183912</v>
      </c>
      <c r="DK102" s="32"/>
      <c r="DL102" s="9"/>
      <c r="DM102" s="32"/>
      <c r="DN102" s="9">
        <v>87</v>
      </c>
      <c r="DO102" s="7">
        <v>0.25838669546646997</v>
      </c>
      <c r="DP102" s="9">
        <f t="shared" si="198"/>
        <v>3</v>
      </c>
      <c r="DQ102" s="38">
        <f>AVERAGE(DP$6:DP102)</f>
        <v>5.195402298850575</v>
      </c>
      <c r="DR102" s="32"/>
      <c r="DS102" s="9"/>
      <c r="DT102" s="32"/>
      <c r="DU102" s="9">
        <v>87</v>
      </c>
      <c r="DV102" s="7">
        <v>0.20090796882868744</v>
      </c>
      <c r="DW102" s="9">
        <f t="shared" si="199"/>
        <v>3</v>
      </c>
      <c r="DX102" s="38">
        <f>AVERAGE(DW$6:DW102)</f>
        <v>5.0229885057471266</v>
      </c>
      <c r="DY102" s="32"/>
      <c r="DZ102" s="9"/>
      <c r="EA102" s="32"/>
      <c r="EB102" s="9">
        <v>87</v>
      </c>
      <c r="EC102" s="7">
        <v>0.45850889512803406</v>
      </c>
      <c r="ED102" s="9">
        <f t="shared" si="200"/>
        <v>5</v>
      </c>
      <c r="EE102" s="38">
        <f>AVERAGE(ED$6:ED102)</f>
        <v>4.6551724137931032</v>
      </c>
      <c r="EF102" s="32"/>
      <c r="EG102" s="9"/>
      <c r="EH102" s="32"/>
      <c r="EI102" s="9">
        <v>87</v>
      </c>
      <c r="EJ102" s="7">
        <v>0.42297531818621792</v>
      </c>
      <c r="EK102" s="9">
        <f t="shared" si="201"/>
        <v>4</v>
      </c>
      <c r="EL102" s="38">
        <f>AVERAGE(EK$6:EK102)</f>
        <v>4.8620689655172411</v>
      </c>
      <c r="EM102" s="32"/>
      <c r="EN102" s="9"/>
      <c r="EO102" s="32"/>
      <c r="EP102" s="9">
        <v>87</v>
      </c>
      <c r="EQ102" s="7">
        <v>8.6052348604425788E-2</v>
      </c>
      <c r="ER102" s="9">
        <f t="shared" si="202"/>
        <v>2</v>
      </c>
      <c r="ES102" s="38">
        <f>AVERAGE(ER$6:ER102)</f>
        <v>4.9425287356321839</v>
      </c>
      <c r="ET102" s="32"/>
    </row>
    <row r="103" spans="5:150" x14ac:dyDescent="0.25">
      <c r="E103" s="7"/>
      <c r="L103" s="32"/>
      <c r="M103" s="9">
        <v>88</v>
      </c>
      <c r="N103" s="7">
        <v>0.21936891207587905</v>
      </c>
      <c r="O103" s="9">
        <f t="shared" si="203"/>
        <v>3</v>
      </c>
      <c r="P103" s="38">
        <f>AVERAGE(O$6:O103)</f>
        <v>5.0909090909090908</v>
      </c>
      <c r="Q103" s="32"/>
      <c r="R103" s="9"/>
      <c r="S103" s="32"/>
      <c r="T103" s="9">
        <v>88</v>
      </c>
      <c r="U103" s="7">
        <v>0.22789774797274731</v>
      </c>
      <c r="V103" s="9">
        <f t="shared" si="184"/>
        <v>3</v>
      </c>
      <c r="W103" s="38">
        <f>AVERAGE(V$6:V103)</f>
        <v>4.7840909090909092</v>
      </c>
      <c r="X103" s="32"/>
      <c r="Y103" s="9"/>
      <c r="Z103" s="32"/>
      <c r="AA103" s="9">
        <v>88</v>
      </c>
      <c r="AB103" s="7">
        <v>0.52073693057172932</v>
      </c>
      <c r="AC103" s="9">
        <f t="shared" si="185"/>
        <v>5</v>
      </c>
      <c r="AD103" s="38">
        <f>AVERAGE(AC$6:AC103)</f>
        <v>4.9545454545454541</v>
      </c>
      <c r="AE103" s="32"/>
      <c r="AF103" s="9"/>
      <c r="AG103" s="32"/>
      <c r="AH103" s="9">
        <v>88</v>
      </c>
      <c r="AI103" s="7">
        <v>0.23066545996698551</v>
      </c>
      <c r="AJ103" s="9">
        <f t="shared" si="186"/>
        <v>3</v>
      </c>
      <c r="AK103" s="38">
        <f>AVERAGE(AJ$6:AJ103)</f>
        <v>4.8977272727272725</v>
      </c>
      <c r="AL103" s="32"/>
      <c r="AM103" s="9"/>
      <c r="AN103" s="32"/>
      <c r="AO103" s="9">
        <v>88</v>
      </c>
      <c r="AP103" s="7">
        <v>0.94213028906960972</v>
      </c>
      <c r="AQ103" s="9">
        <f t="shared" si="187"/>
        <v>9</v>
      </c>
      <c r="AR103" s="38">
        <f>AVERAGE(AQ$6:AQ103)</f>
        <v>5.1931818181818183</v>
      </c>
      <c r="AS103" s="32"/>
      <c r="AT103" s="9"/>
      <c r="AU103" s="32"/>
      <c r="AV103" s="9">
        <v>88</v>
      </c>
      <c r="AW103" s="7">
        <v>0.10603122084285133</v>
      </c>
      <c r="AX103" s="9">
        <f t="shared" si="188"/>
        <v>2</v>
      </c>
      <c r="AY103" s="38">
        <f>AVERAGE(AX$6:AX103)</f>
        <v>4.7954545454545459</v>
      </c>
      <c r="AZ103" s="32"/>
      <c r="BA103" s="9"/>
      <c r="BB103" s="32"/>
      <c r="BC103" s="9">
        <v>88</v>
      </c>
      <c r="BD103" s="7">
        <v>0.18721353687578812</v>
      </c>
      <c r="BE103" s="9">
        <f t="shared" si="189"/>
        <v>3</v>
      </c>
      <c r="BF103" s="38">
        <f>AVERAGE(BE$6:BE103)</f>
        <v>4.7727272727272725</v>
      </c>
      <c r="BG103" s="32"/>
      <c r="BH103" s="9"/>
      <c r="BI103" s="32"/>
      <c r="BJ103" s="9">
        <v>88</v>
      </c>
      <c r="BK103" s="7">
        <v>0.60664692698628642</v>
      </c>
      <c r="BL103" s="9">
        <f t="shared" si="190"/>
        <v>5</v>
      </c>
      <c r="BM103" s="38">
        <f>AVERAGE(BL$6:BL103)</f>
        <v>5.2954545454545459</v>
      </c>
      <c r="BN103" s="32"/>
      <c r="BO103" s="9"/>
      <c r="BP103" s="32"/>
      <c r="BQ103" s="9">
        <v>88</v>
      </c>
      <c r="BR103" s="7">
        <v>0.77830854480271228</v>
      </c>
      <c r="BS103" s="9">
        <f t="shared" si="191"/>
        <v>7</v>
      </c>
      <c r="BT103" s="38">
        <f>AVERAGE(BS$6:BS103)</f>
        <v>4.8636363636363633</v>
      </c>
      <c r="BU103" s="32"/>
      <c r="BV103" s="9"/>
      <c r="BW103" s="32"/>
      <c r="BX103" s="9">
        <v>88</v>
      </c>
      <c r="BY103" s="7">
        <v>0.5809020442829933</v>
      </c>
      <c r="BZ103" s="9">
        <f t="shared" si="192"/>
        <v>5</v>
      </c>
      <c r="CA103" s="38">
        <f>AVERAGE(BZ$6:BZ103)</f>
        <v>5</v>
      </c>
      <c r="CB103" s="32"/>
      <c r="CC103" s="9"/>
      <c r="CD103" s="32"/>
      <c r="CE103" s="9">
        <v>88</v>
      </c>
      <c r="CF103" s="7">
        <v>0.83178600974497385</v>
      </c>
      <c r="CG103" s="9">
        <f t="shared" si="193"/>
        <v>7</v>
      </c>
      <c r="CH103" s="38">
        <f>AVERAGE(CG$6:CG103)</f>
        <v>4.9772727272727275</v>
      </c>
      <c r="CI103" s="32"/>
      <c r="CJ103" s="9"/>
      <c r="CK103" s="32"/>
      <c r="CL103" s="9">
        <v>88</v>
      </c>
      <c r="CM103" s="7">
        <v>0.41665663133608177</v>
      </c>
      <c r="CN103" s="9">
        <f t="shared" si="194"/>
        <v>4</v>
      </c>
      <c r="CO103" s="38">
        <f>AVERAGE(CN$6:CN103)</f>
        <v>4.7159090909090908</v>
      </c>
      <c r="CP103" s="32"/>
      <c r="CQ103" s="9"/>
      <c r="CR103" s="32"/>
      <c r="CS103" s="9">
        <v>88</v>
      </c>
      <c r="CT103" s="7">
        <v>0.68890228029340506</v>
      </c>
      <c r="CU103" s="9">
        <f t="shared" si="195"/>
        <v>6</v>
      </c>
      <c r="CV103" s="38">
        <f>AVERAGE(CU$6:CU103)</f>
        <v>5.0340909090909092</v>
      </c>
      <c r="CW103" s="32"/>
      <c r="CX103" s="9"/>
      <c r="CY103" s="32"/>
      <c r="CZ103" s="9">
        <v>88</v>
      </c>
      <c r="DA103" s="7">
        <v>0.5362978964112699</v>
      </c>
      <c r="DB103" s="9">
        <f t="shared" si="196"/>
        <v>5</v>
      </c>
      <c r="DC103" s="38">
        <f>AVERAGE(DB$6:DB103)</f>
        <v>5.0113636363636367</v>
      </c>
      <c r="DD103" s="32"/>
      <c r="DE103" s="9"/>
      <c r="DF103" s="32"/>
      <c r="DG103" s="9">
        <v>88</v>
      </c>
      <c r="DH103" s="7">
        <v>0.52388871749280952</v>
      </c>
      <c r="DI103" s="9">
        <f t="shared" si="197"/>
        <v>5</v>
      </c>
      <c r="DJ103" s="38">
        <f>AVERAGE(DI$6:DI103)</f>
        <v>5.25</v>
      </c>
      <c r="DK103" s="32"/>
      <c r="DL103" s="9"/>
      <c r="DM103" s="32"/>
      <c r="DN103" s="9">
        <v>88</v>
      </c>
      <c r="DO103" s="7">
        <v>6.9148165261140093E-2</v>
      </c>
      <c r="DP103" s="9">
        <f t="shared" si="198"/>
        <v>2</v>
      </c>
      <c r="DQ103" s="38">
        <f>AVERAGE(DP$6:DP103)</f>
        <v>5.1590909090909092</v>
      </c>
      <c r="DR103" s="32"/>
      <c r="DS103" s="9"/>
      <c r="DT103" s="32"/>
      <c r="DU103" s="9">
        <v>88</v>
      </c>
      <c r="DV103" s="7">
        <v>0.46760394680313766</v>
      </c>
      <c r="DW103" s="9">
        <f t="shared" si="199"/>
        <v>5</v>
      </c>
      <c r="DX103" s="38">
        <f>AVERAGE(DW$6:DW103)</f>
        <v>5.0227272727272725</v>
      </c>
      <c r="DY103" s="32"/>
      <c r="DZ103" s="9"/>
      <c r="EA103" s="32"/>
      <c r="EB103" s="9">
        <v>88</v>
      </c>
      <c r="EC103" s="7">
        <v>0.13208099096664228</v>
      </c>
      <c r="ED103" s="9">
        <f t="shared" si="200"/>
        <v>3</v>
      </c>
      <c r="EE103" s="38">
        <f>AVERAGE(ED$6:ED103)</f>
        <v>4.6363636363636367</v>
      </c>
      <c r="EF103" s="32"/>
      <c r="EG103" s="9"/>
      <c r="EH103" s="32"/>
      <c r="EI103" s="9">
        <v>88</v>
      </c>
      <c r="EJ103" s="7">
        <v>0.83228886593133211</v>
      </c>
      <c r="EK103" s="9">
        <f t="shared" si="201"/>
        <v>7</v>
      </c>
      <c r="EL103" s="38">
        <f>AVERAGE(EK$6:EK103)</f>
        <v>4.8863636363636367</v>
      </c>
      <c r="EM103" s="32"/>
      <c r="EN103" s="9"/>
      <c r="EO103" s="32"/>
      <c r="EP103" s="9">
        <v>88</v>
      </c>
      <c r="EQ103" s="7">
        <v>0.31695953130838461</v>
      </c>
      <c r="ER103" s="9">
        <f t="shared" si="202"/>
        <v>4</v>
      </c>
      <c r="ES103" s="38">
        <f>AVERAGE(ER$6:ER103)</f>
        <v>4.9318181818181817</v>
      </c>
      <c r="ET103" s="32"/>
    </row>
    <row r="104" spans="5:150" x14ac:dyDescent="0.25">
      <c r="E104" s="7"/>
      <c r="L104" s="32">
        <v>12</v>
      </c>
      <c r="M104" s="9">
        <v>89</v>
      </c>
      <c r="N104" s="7">
        <v>0.97498971910681576</v>
      </c>
      <c r="O104" s="9">
        <f t="shared" si="203"/>
        <v>10</v>
      </c>
      <c r="P104" s="38">
        <f>AVERAGE(O$6:O104)</f>
        <v>5.1460674157303368</v>
      </c>
      <c r="Q104" s="32">
        <f t="shared" ref="Q104" si="244">SUM(O104:O111)</f>
        <v>39</v>
      </c>
      <c r="R104" s="9"/>
      <c r="S104" s="32">
        <v>12</v>
      </c>
      <c r="T104" s="9">
        <v>89</v>
      </c>
      <c r="U104" s="7">
        <v>0.36734020599396899</v>
      </c>
      <c r="V104" s="9">
        <f t="shared" si="184"/>
        <v>4</v>
      </c>
      <c r="W104" s="38">
        <f>AVERAGE(V$6:V104)</f>
        <v>4.7752808988764048</v>
      </c>
      <c r="X104" s="32">
        <f t="shared" ref="X104" si="245">SUM(V104:V111)</f>
        <v>37</v>
      </c>
      <c r="Y104" s="9"/>
      <c r="Z104" s="32">
        <v>12</v>
      </c>
      <c r="AA104" s="9">
        <v>89</v>
      </c>
      <c r="AB104" s="7">
        <v>0.17951924446970224</v>
      </c>
      <c r="AC104" s="9">
        <f t="shared" si="185"/>
        <v>3</v>
      </c>
      <c r="AD104" s="38">
        <f>AVERAGE(AC$6:AC104)</f>
        <v>4.9325842696629216</v>
      </c>
      <c r="AE104" s="32">
        <f t="shared" ref="AE104" si="246">SUM(AC104:AC111)</f>
        <v>55</v>
      </c>
      <c r="AF104" s="9"/>
      <c r="AG104" s="32">
        <v>12</v>
      </c>
      <c r="AH104" s="9">
        <v>89</v>
      </c>
      <c r="AI104" s="7">
        <v>0.79271188302664086</v>
      </c>
      <c r="AJ104" s="9">
        <f t="shared" si="186"/>
        <v>7</v>
      </c>
      <c r="AK104" s="38">
        <f>AVERAGE(AJ$6:AJ104)</f>
        <v>4.9213483146067416</v>
      </c>
      <c r="AL104" s="32">
        <f t="shared" ref="AL104" si="247">SUM(AJ104:AJ111)</f>
        <v>39</v>
      </c>
      <c r="AM104" s="9"/>
      <c r="AN104" s="32">
        <v>12</v>
      </c>
      <c r="AO104" s="9">
        <v>89</v>
      </c>
      <c r="AP104" s="7">
        <v>0.19709887087810785</v>
      </c>
      <c r="AQ104" s="9">
        <f t="shared" si="187"/>
        <v>3</v>
      </c>
      <c r="AR104" s="38">
        <f>AVERAGE(AQ$6:AQ104)</f>
        <v>5.1685393258426968</v>
      </c>
      <c r="AS104" s="32">
        <f t="shared" ref="AS104" si="248">SUM(AQ104:AQ111)</f>
        <v>38</v>
      </c>
      <c r="AT104" s="9"/>
      <c r="AU104" s="32">
        <v>12</v>
      </c>
      <c r="AV104" s="9">
        <v>89</v>
      </c>
      <c r="AW104" s="7">
        <v>0.60607873409753665</v>
      </c>
      <c r="AX104" s="9">
        <f t="shared" si="188"/>
        <v>5</v>
      </c>
      <c r="AY104" s="38">
        <f>AVERAGE(AX$6:AX104)</f>
        <v>4.797752808988764</v>
      </c>
      <c r="AZ104" s="32">
        <f t="shared" ref="AZ104" si="249">SUM(AX104:AX111)</f>
        <v>40</v>
      </c>
      <c r="BA104" s="9"/>
      <c r="BB104" s="32">
        <v>12</v>
      </c>
      <c r="BC104" s="9">
        <v>89</v>
      </c>
      <c r="BD104" s="7">
        <v>0.41497149105998687</v>
      </c>
      <c r="BE104" s="9">
        <f t="shared" si="189"/>
        <v>4</v>
      </c>
      <c r="BF104" s="38">
        <f>AVERAGE(BE$6:BE104)</f>
        <v>4.7640449438202248</v>
      </c>
      <c r="BG104" s="32">
        <f t="shared" ref="BG104" si="250">SUM(BE104:BE111)</f>
        <v>44</v>
      </c>
      <c r="BH104" s="9"/>
      <c r="BI104" s="32">
        <v>12</v>
      </c>
      <c r="BJ104" s="9">
        <v>89</v>
      </c>
      <c r="BK104" s="7">
        <v>0.42316739796660841</v>
      </c>
      <c r="BL104" s="9">
        <f t="shared" si="190"/>
        <v>4</v>
      </c>
      <c r="BM104" s="38">
        <f>AVERAGE(BL$6:BL104)</f>
        <v>5.2808988764044944</v>
      </c>
      <c r="BN104" s="32">
        <f t="shared" ref="BN104" si="251">SUM(BL104:BL111)</f>
        <v>36</v>
      </c>
      <c r="BO104" s="9"/>
      <c r="BP104" s="32">
        <v>12</v>
      </c>
      <c r="BQ104" s="9">
        <v>89</v>
      </c>
      <c r="BR104" s="7">
        <v>0.82890057342592627</v>
      </c>
      <c r="BS104" s="9">
        <f t="shared" si="191"/>
        <v>7</v>
      </c>
      <c r="BT104" s="38">
        <f>AVERAGE(BS$6:BS104)</f>
        <v>4.8876404494382024</v>
      </c>
      <c r="BU104" s="32">
        <f t="shared" ref="BU104" si="252">SUM(BS104:BS111)</f>
        <v>45</v>
      </c>
      <c r="BV104" s="9"/>
      <c r="BW104" s="32">
        <v>12</v>
      </c>
      <c r="BX104" s="9">
        <v>89</v>
      </c>
      <c r="BY104" s="7">
        <v>0.16455280577065423</v>
      </c>
      <c r="BZ104" s="9">
        <f t="shared" si="192"/>
        <v>3</v>
      </c>
      <c r="CA104" s="38">
        <f>AVERAGE(BZ$6:BZ104)</f>
        <v>4.9775280898876408</v>
      </c>
      <c r="CB104" s="32">
        <f t="shared" ref="CB104" si="253">SUM(BZ104:BZ111)</f>
        <v>41</v>
      </c>
      <c r="CC104" s="9"/>
      <c r="CD104" s="32">
        <v>12</v>
      </c>
      <c r="CE104" s="9">
        <v>89</v>
      </c>
      <c r="CF104" s="7">
        <v>0.36979501869063824</v>
      </c>
      <c r="CG104" s="9">
        <f t="shared" si="193"/>
        <v>4</v>
      </c>
      <c r="CH104" s="38">
        <f>AVERAGE(CG$6:CG104)</f>
        <v>4.9662921348314608</v>
      </c>
      <c r="CI104" s="32">
        <f t="shared" ref="CI104" si="254">SUM(CG104:CG111)</f>
        <v>44</v>
      </c>
      <c r="CJ104" s="9"/>
      <c r="CK104" s="32">
        <v>12</v>
      </c>
      <c r="CL104" s="9">
        <v>89</v>
      </c>
      <c r="CM104" s="7">
        <v>0.57816513811121695</v>
      </c>
      <c r="CN104" s="9">
        <f t="shared" si="194"/>
        <v>5</v>
      </c>
      <c r="CO104" s="38">
        <f>AVERAGE(CN$6:CN104)</f>
        <v>4.7191011235955056</v>
      </c>
      <c r="CP104" s="32">
        <f t="shared" ref="CP104" si="255">SUM(CN104:CN111)</f>
        <v>42</v>
      </c>
      <c r="CQ104" s="9"/>
      <c r="CR104" s="32">
        <v>12</v>
      </c>
      <c r="CS104" s="9">
        <v>89</v>
      </c>
      <c r="CT104" s="7">
        <v>0.78467435113270767</v>
      </c>
      <c r="CU104" s="9">
        <f t="shared" si="195"/>
        <v>7</v>
      </c>
      <c r="CV104" s="38">
        <f>AVERAGE(CU$6:CU104)</f>
        <v>5.0561797752808992</v>
      </c>
      <c r="CW104" s="32">
        <f t="shared" ref="CW104" si="256">SUM(CU104:CU111)</f>
        <v>32</v>
      </c>
      <c r="CX104" s="9"/>
      <c r="CY104" s="32">
        <v>12</v>
      </c>
      <c r="CZ104" s="9">
        <v>89</v>
      </c>
      <c r="DA104" s="7">
        <v>0.19341665183310397</v>
      </c>
      <c r="DB104" s="9">
        <f t="shared" si="196"/>
        <v>3</v>
      </c>
      <c r="DC104" s="38">
        <f>AVERAGE(DB$6:DB104)</f>
        <v>4.98876404494382</v>
      </c>
      <c r="DD104" s="32">
        <f t="shared" ref="DD104" si="257">SUM(DB104:DB111)</f>
        <v>48</v>
      </c>
      <c r="DE104" s="9"/>
      <c r="DF104" s="32">
        <v>12</v>
      </c>
      <c r="DG104" s="9">
        <v>89</v>
      </c>
      <c r="DH104" s="7">
        <v>0.8026895088260062</v>
      </c>
      <c r="DI104" s="9">
        <f t="shared" si="197"/>
        <v>7</v>
      </c>
      <c r="DJ104" s="38">
        <f>AVERAGE(DI$6:DI104)</f>
        <v>5.2696629213483144</v>
      </c>
      <c r="DK104" s="32">
        <f t="shared" ref="DK104" si="258">SUM(DI104:DI111)</f>
        <v>44</v>
      </c>
      <c r="DL104" s="9"/>
      <c r="DM104" s="32">
        <v>12</v>
      </c>
      <c r="DN104" s="9">
        <v>89</v>
      </c>
      <c r="DO104" s="7">
        <v>0.61130510951625183</v>
      </c>
      <c r="DP104" s="9">
        <f t="shared" si="198"/>
        <v>5</v>
      </c>
      <c r="DQ104" s="38">
        <f>AVERAGE(DP$6:DP104)</f>
        <v>5.1573033707865168</v>
      </c>
      <c r="DR104" s="32">
        <f t="shared" ref="DR104" si="259">SUM(DP104:DP111)</f>
        <v>41</v>
      </c>
      <c r="DS104" s="9"/>
      <c r="DT104" s="32">
        <v>12</v>
      </c>
      <c r="DU104" s="9">
        <v>89</v>
      </c>
      <c r="DV104" s="7">
        <v>0.81603260364499874</v>
      </c>
      <c r="DW104" s="9">
        <f t="shared" si="199"/>
        <v>7</v>
      </c>
      <c r="DX104" s="38">
        <f>AVERAGE(DW$6:DW104)</f>
        <v>5.0449438202247192</v>
      </c>
      <c r="DY104" s="32">
        <f t="shared" ref="DY104" si="260">SUM(DW104:DW111)</f>
        <v>33</v>
      </c>
      <c r="DZ104" s="9"/>
      <c r="EA104" s="32">
        <v>12</v>
      </c>
      <c r="EB104" s="9">
        <v>89</v>
      </c>
      <c r="EC104" s="7">
        <v>2.1710347849875689E-2</v>
      </c>
      <c r="ED104" s="9">
        <f t="shared" si="200"/>
        <v>1</v>
      </c>
      <c r="EE104" s="38">
        <f>AVERAGE(ED$6:ED104)</f>
        <v>4.595505617977528</v>
      </c>
      <c r="EF104" s="32">
        <f t="shared" ref="EF104" si="261">SUM(ED104:ED111)</f>
        <v>35</v>
      </c>
      <c r="EG104" s="9"/>
      <c r="EH104" s="32">
        <v>12</v>
      </c>
      <c r="EI104" s="9">
        <v>89</v>
      </c>
      <c r="EJ104" s="7">
        <v>0.62876595466514118</v>
      </c>
      <c r="EK104" s="9">
        <f t="shared" si="201"/>
        <v>6</v>
      </c>
      <c r="EL104" s="38">
        <f>AVERAGE(EK$6:EK104)</f>
        <v>4.8988764044943824</v>
      </c>
      <c r="EM104" s="32">
        <f t="shared" ref="EM104" si="262">SUM(EK104:EK111)</f>
        <v>55</v>
      </c>
      <c r="EN104" s="9"/>
      <c r="EO104" s="32">
        <v>12</v>
      </c>
      <c r="EP104" s="9">
        <v>89</v>
      </c>
      <c r="EQ104" s="7">
        <v>0.23415862384717911</v>
      </c>
      <c r="ER104" s="9">
        <f t="shared" si="202"/>
        <v>3</v>
      </c>
      <c r="ES104" s="38">
        <f>AVERAGE(ER$6:ER104)</f>
        <v>4.9101123595505616</v>
      </c>
      <c r="ET104" s="32">
        <f t="shared" ref="ET104" si="263">SUM(ER104:ER111)</f>
        <v>41</v>
      </c>
    </row>
    <row r="105" spans="5:150" x14ac:dyDescent="0.25">
      <c r="E105" s="7"/>
      <c r="L105" s="32"/>
      <c r="M105" s="9">
        <v>90</v>
      </c>
      <c r="N105" s="7">
        <v>0.11970534003921784</v>
      </c>
      <c r="O105" s="9">
        <f t="shared" si="203"/>
        <v>2</v>
      </c>
      <c r="P105" s="38">
        <f>AVERAGE(O$6:O105)</f>
        <v>5.1111111111111107</v>
      </c>
      <c r="Q105" s="32"/>
      <c r="R105" s="9"/>
      <c r="S105" s="32"/>
      <c r="T105" s="9">
        <v>90</v>
      </c>
      <c r="U105" s="7">
        <v>0.18020608692313544</v>
      </c>
      <c r="V105" s="9">
        <f t="shared" si="184"/>
        <v>3</v>
      </c>
      <c r="W105" s="38">
        <f>AVERAGE(V$6:V105)</f>
        <v>4.7555555555555555</v>
      </c>
      <c r="X105" s="32"/>
      <c r="Y105" s="9"/>
      <c r="Z105" s="32"/>
      <c r="AA105" s="9">
        <v>90</v>
      </c>
      <c r="AB105" s="7">
        <v>0.45241090192575939</v>
      </c>
      <c r="AC105" s="9">
        <f t="shared" si="185"/>
        <v>5</v>
      </c>
      <c r="AD105" s="38">
        <f>AVERAGE(AC$6:AC105)</f>
        <v>4.9333333333333336</v>
      </c>
      <c r="AE105" s="32"/>
      <c r="AF105" s="9"/>
      <c r="AG105" s="32"/>
      <c r="AH105" s="9">
        <v>90</v>
      </c>
      <c r="AI105" s="7">
        <v>0.24661975874914788</v>
      </c>
      <c r="AJ105" s="9">
        <f t="shared" si="186"/>
        <v>3</v>
      </c>
      <c r="AK105" s="38">
        <f>AVERAGE(AJ$6:AJ105)</f>
        <v>4.9000000000000004</v>
      </c>
      <c r="AL105" s="32"/>
      <c r="AM105" s="9"/>
      <c r="AN105" s="32"/>
      <c r="AO105" s="9">
        <v>90</v>
      </c>
      <c r="AP105" s="7">
        <v>0.50591850225464441</v>
      </c>
      <c r="AQ105" s="9">
        <f t="shared" si="187"/>
        <v>5</v>
      </c>
      <c r="AR105" s="38">
        <f>AVERAGE(AQ$6:AQ105)</f>
        <v>5.166666666666667</v>
      </c>
      <c r="AS105" s="32"/>
      <c r="AT105" s="9"/>
      <c r="AU105" s="32"/>
      <c r="AV105" s="9">
        <v>90</v>
      </c>
      <c r="AW105" s="7">
        <v>0.13054806026048027</v>
      </c>
      <c r="AX105" s="9">
        <f t="shared" si="188"/>
        <v>3</v>
      </c>
      <c r="AY105" s="38">
        <f>AVERAGE(AX$6:AX105)</f>
        <v>4.7777777777777777</v>
      </c>
      <c r="AZ105" s="32"/>
      <c r="BA105" s="9"/>
      <c r="BB105" s="32"/>
      <c r="BC105" s="9">
        <v>90</v>
      </c>
      <c r="BD105" s="7">
        <v>0.71031789592234418</v>
      </c>
      <c r="BE105" s="9">
        <f t="shared" si="189"/>
        <v>6</v>
      </c>
      <c r="BF105" s="38">
        <f>AVERAGE(BE$6:BE105)</f>
        <v>4.7777777777777777</v>
      </c>
      <c r="BG105" s="32"/>
      <c r="BH105" s="9"/>
      <c r="BI105" s="32"/>
      <c r="BJ105" s="9">
        <v>90</v>
      </c>
      <c r="BK105" s="7">
        <v>0.93120995283243246</v>
      </c>
      <c r="BL105" s="9">
        <f t="shared" si="190"/>
        <v>8</v>
      </c>
      <c r="BM105" s="38">
        <f>AVERAGE(BL$6:BL105)</f>
        <v>5.3111111111111109</v>
      </c>
      <c r="BN105" s="32"/>
      <c r="BO105" s="9"/>
      <c r="BP105" s="32"/>
      <c r="BQ105" s="9">
        <v>90</v>
      </c>
      <c r="BR105" s="7">
        <v>0.8837953143811319</v>
      </c>
      <c r="BS105" s="9">
        <f t="shared" si="191"/>
        <v>8</v>
      </c>
      <c r="BT105" s="38">
        <f>AVERAGE(BS$6:BS105)</f>
        <v>4.9222222222222225</v>
      </c>
      <c r="BU105" s="32"/>
      <c r="BV105" s="9"/>
      <c r="BW105" s="32"/>
      <c r="BX105" s="9">
        <v>90</v>
      </c>
      <c r="BY105" s="7">
        <v>0.74469497191603296</v>
      </c>
      <c r="BZ105" s="9">
        <f t="shared" si="192"/>
        <v>6</v>
      </c>
      <c r="CA105" s="38">
        <f>AVERAGE(BZ$6:BZ105)</f>
        <v>4.9888888888888889</v>
      </c>
      <c r="CB105" s="32"/>
      <c r="CC105" s="9"/>
      <c r="CD105" s="32"/>
      <c r="CE105" s="9">
        <v>90</v>
      </c>
      <c r="CF105" s="7">
        <v>0.44443462570779957</v>
      </c>
      <c r="CG105" s="9">
        <f t="shared" si="193"/>
        <v>5</v>
      </c>
      <c r="CH105" s="38">
        <f>AVERAGE(CG$6:CG105)</f>
        <v>4.9666666666666668</v>
      </c>
      <c r="CI105" s="32"/>
      <c r="CJ105" s="9"/>
      <c r="CK105" s="32"/>
      <c r="CL105" s="9">
        <v>90</v>
      </c>
      <c r="CM105" s="7">
        <v>0.75504612730583176</v>
      </c>
      <c r="CN105" s="9">
        <f t="shared" si="194"/>
        <v>6</v>
      </c>
      <c r="CO105" s="38">
        <f>AVERAGE(CN$6:CN105)</f>
        <v>4.7333333333333334</v>
      </c>
      <c r="CP105" s="32"/>
      <c r="CQ105" s="9"/>
      <c r="CR105" s="32"/>
      <c r="CS105" s="9">
        <v>90</v>
      </c>
      <c r="CT105" s="7">
        <v>0.10729083337355405</v>
      </c>
      <c r="CU105" s="9">
        <f t="shared" si="195"/>
        <v>2</v>
      </c>
      <c r="CV105" s="38">
        <f>AVERAGE(CU$6:CU105)</f>
        <v>5.0222222222222221</v>
      </c>
      <c r="CW105" s="32"/>
      <c r="CX105" s="9"/>
      <c r="CY105" s="32"/>
      <c r="CZ105" s="9">
        <v>90</v>
      </c>
      <c r="DA105" s="7">
        <v>0.60957569407764822</v>
      </c>
      <c r="DB105" s="9">
        <f t="shared" si="196"/>
        <v>5</v>
      </c>
      <c r="DC105" s="38">
        <f>AVERAGE(DB$6:DB105)</f>
        <v>4.9888888888888889</v>
      </c>
      <c r="DD105" s="32"/>
      <c r="DE105" s="9"/>
      <c r="DF105" s="32"/>
      <c r="DG105" s="9">
        <v>90</v>
      </c>
      <c r="DH105" s="7">
        <v>0.38509704542229883</v>
      </c>
      <c r="DI105" s="9">
        <f t="shared" si="197"/>
        <v>4</v>
      </c>
      <c r="DJ105" s="38">
        <f>AVERAGE(DI$6:DI105)</f>
        <v>5.2555555555555555</v>
      </c>
      <c r="DK105" s="32"/>
      <c r="DL105" s="9"/>
      <c r="DM105" s="32"/>
      <c r="DN105" s="9">
        <v>90</v>
      </c>
      <c r="DO105" s="7">
        <v>0.82213140089879744</v>
      </c>
      <c r="DP105" s="9">
        <f t="shared" si="198"/>
        <v>7</v>
      </c>
      <c r="DQ105" s="38">
        <f>AVERAGE(DP$6:DP105)</f>
        <v>5.177777777777778</v>
      </c>
      <c r="DR105" s="32"/>
      <c r="DS105" s="9"/>
      <c r="DT105" s="32"/>
      <c r="DU105" s="9">
        <v>90</v>
      </c>
      <c r="DV105" s="7">
        <v>0.25679087720345706</v>
      </c>
      <c r="DW105" s="9">
        <f t="shared" si="199"/>
        <v>3</v>
      </c>
      <c r="DX105" s="38">
        <f>AVERAGE(DW$6:DW105)</f>
        <v>5.0222222222222221</v>
      </c>
      <c r="DY105" s="32"/>
      <c r="DZ105" s="9"/>
      <c r="EA105" s="32"/>
      <c r="EB105" s="9">
        <v>90</v>
      </c>
      <c r="EC105" s="7">
        <v>0.18082914271508344</v>
      </c>
      <c r="ED105" s="9">
        <f t="shared" si="200"/>
        <v>3</v>
      </c>
      <c r="EE105" s="38">
        <f>AVERAGE(ED$6:ED105)</f>
        <v>4.5777777777777775</v>
      </c>
      <c r="EF105" s="32"/>
      <c r="EG105" s="9"/>
      <c r="EH105" s="32"/>
      <c r="EI105" s="9">
        <v>90</v>
      </c>
      <c r="EJ105" s="7">
        <v>0.81446665257681161</v>
      </c>
      <c r="EK105" s="9">
        <f t="shared" si="201"/>
        <v>7</v>
      </c>
      <c r="EL105" s="38">
        <f>AVERAGE(EK$6:EK105)</f>
        <v>4.9222222222222225</v>
      </c>
      <c r="EM105" s="32"/>
      <c r="EN105" s="9"/>
      <c r="EO105" s="32"/>
      <c r="EP105" s="9">
        <v>90</v>
      </c>
      <c r="EQ105" s="7">
        <v>0.59169128132634796</v>
      </c>
      <c r="ER105" s="9">
        <f t="shared" si="202"/>
        <v>5</v>
      </c>
      <c r="ES105" s="38">
        <f>AVERAGE(ER$6:ER105)</f>
        <v>4.9111111111111114</v>
      </c>
      <c r="ET105" s="32"/>
    </row>
    <row r="106" spans="5:150" x14ac:dyDescent="0.25">
      <c r="E106" s="7"/>
      <c r="L106" s="32"/>
      <c r="M106" s="9">
        <v>91</v>
      </c>
      <c r="N106" s="7">
        <v>0.6482501202262938</v>
      </c>
      <c r="O106" s="9">
        <f t="shared" si="203"/>
        <v>6</v>
      </c>
      <c r="P106" s="38">
        <f>AVERAGE(O$6:O106)</f>
        <v>5.1208791208791204</v>
      </c>
      <c r="Q106" s="32"/>
      <c r="R106" s="9"/>
      <c r="S106" s="32"/>
      <c r="T106" s="9">
        <v>91</v>
      </c>
      <c r="U106" s="7">
        <v>0.80613476544385776</v>
      </c>
      <c r="V106" s="9">
        <f t="shared" si="184"/>
        <v>7</v>
      </c>
      <c r="W106" s="38">
        <f>AVERAGE(V$6:V106)</f>
        <v>4.7802197802197801</v>
      </c>
      <c r="X106" s="32"/>
      <c r="Y106" s="9"/>
      <c r="Z106" s="32"/>
      <c r="AA106" s="9">
        <v>91</v>
      </c>
      <c r="AB106" s="7">
        <v>0.99161449179518968</v>
      </c>
      <c r="AC106" s="9">
        <f t="shared" si="185"/>
        <v>11</v>
      </c>
      <c r="AD106" s="38">
        <f>AVERAGE(AC$6:AC106)</f>
        <v>5</v>
      </c>
      <c r="AE106" s="32"/>
      <c r="AF106" s="9"/>
      <c r="AG106" s="32"/>
      <c r="AH106" s="9">
        <v>91</v>
      </c>
      <c r="AI106" s="7">
        <v>9.1757558402605355E-3</v>
      </c>
      <c r="AJ106" s="9">
        <f t="shared" si="186"/>
        <v>1</v>
      </c>
      <c r="AK106" s="38">
        <f>AVERAGE(AJ$6:AJ106)</f>
        <v>4.8571428571428568</v>
      </c>
      <c r="AL106" s="32"/>
      <c r="AM106" s="9"/>
      <c r="AN106" s="32"/>
      <c r="AO106" s="9">
        <v>91</v>
      </c>
      <c r="AP106" s="7">
        <v>0.54802866117097437</v>
      </c>
      <c r="AQ106" s="9">
        <f t="shared" si="187"/>
        <v>5</v>
      </c>
      <c r="AR106" s="38">
        <f>AVERAGE(AQ$6:AQ106)</f>
        <v>5.1648351648351651</v>
      </c>
      <c r="AS106" s="32"/>
      <c r="AT106" s="9"/>
      <c r="AU106" s="32"/>
      <c r="AV106" s="9">
        <v>91</v>
      </c>
      <c r="AW106" s="7">
        <v>0.23225103417644277</v>
      </c>
      <c r="AX106" s="9">
        <f t="shared" si="188"/>
        <v>3</v>
      </c>
      <c r="AY106" s="38">
        <f>AVERAGE(AX$6:AX106)</f>
        <v>4.7582417582417582</v>
      </c>
      <c r="AZ106" s="32"/>
      <c r="BA106" s="9"/>
      <c r="BB106" s="32"/>
      <c r="BC106" s="9">
        <v>91</v>
      </c>
      <c r="BD106" s="7">
        <v>0.81371640003635548</v>
      </c>
      <c r="BE106" s="9">
        <f t="shared" si="189"/>
        <v>7</v>
      </c>
      <c r="BF106" s="38">
        <f>AVERAGE(BE$6:BE106)</f>
        <v>4.802197802197802</v>
      </c>
      <c r="BG106" s="32"/>
      <c r="BH106" s="9"/>
      <c r="BI106" s="32"/>
      <c r="BJ106" s="9">
        <v>91</v>
      </c>
      <c r="BK106" s="7">
        <v>0.57312570873182267</v>
      </c>
      <c r="BL106" s="9">
        <f t="shared" si="190"/>
        <v>5</v>
      </c>
      <c r="BM106" s="38">
        <f>AVERAGE(BL$6:BL106)</f>
        <v>5.3076923076923075</v>
      </c>
      <c r="BN106" s="32"/>
      <c r="BO106" s="9"/>
      <c r="BP106" s="32"/>
      <c r="BQ106" s="9">
        <v>91</v>
      </c>
      <c r="BR106" s="7">
        <v>0.15458690631203353</v>
      </c>
      <c r="BS106" s="9">
        <f t="shared" si="191"/>
        <v>3</v>
      </c>
      <c r="BT106" s="38">
        <f>AVERAGE(BS$6:BS106)</f>
        <v>4.9010989010989015</v>
      </c>
      <c r="BU106" s="32"/>
      <c r="BV106" s="9"/>
      <c r="BW106" s="32"/>
      <c r="BX106" s="9">
        <v>91</v>
      </c>
      <c r="BY106" s="7">
        <v>0.51791053678607568</v>
      </c>
      <c r="BZ106" s="9">
        <f t="shared" si="192"/>
        <v>5</v>
      </c>
      <c r="CA106" s="38">
        <f>AVERAGE(BZ$6:BZ106)</f>
        <v>4.9890109890109891</v>
      </c>
      <c r="CB106" s="32"/>
      <c r="CC106" s="9"/>
      <c r="CD106" s="32"/>
      <c r="CE106" s="9">
        <v>91</v>
      </c>
      <c r="CF106" s="7">
        <v>0.88383223954588175</v>
      </c>
      <c r="CG106" s="9">
        <f t="shared" si="193"/>
        <v>8</v>
      </c>
      <c r="CH106" s="38">
        <f>AVERAGE(CG$6:CG106)</f>
        <v>5</v>
      </c>
      <c r="CI106" s="32"/>
      <c r="CJ106" s="9"/>
      <c r="CK106" s="32"/>
      <c r="CL106" s="9">
        <v>91</v>
      </c>
      <c r="CM106" s="7">
        <v>0.84875556253246032</v>
      </c>
      <c r="CN106" s="9">
        <f t="shared" si="194"/>
        <v>7</v>
      </c>
      <c r="CO106" s="38">
        <f>AVERAGE(CN$6:CN106)</f>
        <v>4.7582417582417582</v>
      </c>
      <c r="CP106" s="32"/>
      <c r="CQ106" s="9"/>
      <c r="CR106" s="32"/>
      <c r="CS106" s="9">
        <v>91</v>
      </c>
      <c r="CT106" s="7">
        <v>0.25477918740944006</v>
      </c>
      <c r="CU106" s="9">
        <f t="shared" si="195"/>
        <v>3</v>
      </c>
      <c r="CV106" s="38">
        <f>AVERAGE(CU$6:CU106)</f>
        <v>5</v>
      </c>
      <c r="CW106" s="32"/>
      <c r="CX106" s="9"/>
      <c r="CY106" s="32"/>
      <c r="CZ106" s="9">
        <v>91</v>
      </c>
      <c r="DA106" s="7">
        <v>0.93148245001793839</v>
      </c>
      <c r="DB106" s="9">
        <f t="shared" si="196"/>
        <v>8</v>
      </c>
      <c r="DC106" s="38">
        <f>AVERAGE(DB$6:DB106)</f>
        <v>5.0219780219780219</v>
      </c>
      <c r="DD106" s="32"/>
      <c r="DE106" s="9"/>
      <c r="DF106" s="32"/>
      <c r="DG106" s="9">
        <v>91</v>
      </c>
      <c r="DH106" s="7">
        <v>0.3249783925130032</v>
      </c>
      <c r="DI106" s="9">
        <f t="shared" si="197"/>
        <v>4</v>
      </c>
      <c r="DJ106" s="38">
        <f>AVERAGE(DI$6:DI106)</f>
        <v>5.2417582417582418</v>
      </c>
      <c r="DK106" s="32"/>
      <c r="DL106" s="9"/>
      <c r="DM106" s="32"/>
      <c r="DN106" s="9">
        <v>91</v>
      </c>
      <c r="DO106" s="7">
        <v>0.39767146290978417</v>
      </c>
      <c r="DP106" s="9">
        <f t="shared" si="198"/>
        <v>4</v>
      </c>
      <c r="DQ106" s="38">
        <f>AVERAGE(DP$6:DP106)</f>
        <v>5.1648351648351651</v>
      </c>
      <c r="DR106" s="32"/>
      <c r="DS106" s="9"/>
      <c r="DT106" s="32"/>
      <c r="DU106" s="9">
        <v>91</v>
      </c>
      <c r="DV106" s="7">
        <v>0.24730175980948843</v>
      </c>
      <c r="DW106" s="9">
        <f t="shared" si="199"/>
        <v>3</v>
      </c>
      <c r="DX106" s="38">
        <f>AVERAGE(DW$6:DW106)</f>
        <v>5</v>
      </c>
      <c r="DY106" s="32"/>
      <c r="DZ106" s="9"/>
      <c r="EA106" s="32"/>
      <c r="EB106" s="9">
        <v>91</v>
      </c>
      <c r="EC106" s="7">
        <v>0.12700849829707295</v>
      </c>
      <c r="ED106" s="9">
        <f t="shared" si="200"/>
        <v>3</v>
      </c>
      <c r="EE106" s="38">
        <f>AVERAGE(ED$6:ED106)</f>
        <v>4.5604395604395602</v>
      </c>
      <c r="EF106" s="32"/>
      <c r="EG106" s="9"/>
      <c r="EH106" s="32"/>
      <c r="EI106" s="9">
        <v>91</v>
      </c>
      <c r="EJ106" s="7">
        <v>0.45032607708708383</v>
      </c>
      <c r="EK106" s="9">
        <f t="shared" si="201"/>
        <v>5</v>
      </c>
      <c r="EL106" s="38">
        <f>AVERAGE(EK$6:EK106)</f>
        <v>4.9230769230769234</v>
      </c>
      <c r="EM106" s="32"/>
      <c r="EN106" s="9"/>
      <c r="EO106" s="32"/>
      <c r="EP106" s="9">
        <v>91</v>
      </c>
      <c r="EQ106" s="7">
        <v>0.72100988309830427</v>
      </c>
      <c r="ER106" s="9">
        <f t="shared" si="202"/>
        <v>6</v>
      </c>
      <c r="ES106" s="38">
        <f>AVERAGE(ER$6:ER106)</f>
        <v>4.9230769230769234</v>
      </c>
      <c r="ET106" s="32"/>
    </row>
    <row r="107" spans="5:150" x14ac:dyDescent="0.25">
      <c r="E107" s="7"/>
      <c r="L107" s="32"/>
      <c r="M107" s="9">
        <v>92</v>
      </c>
      <c r="N107" s="7">
        <v>0.848811916570412</v>
      </c>
      <c r="O107" s="9">
        <f t="shared" si="203"/>
        <v>7</v>
      </c>
      <c r="P107" s="38">
        <f>AVERAGE(O$6:O107)</f>
        <v>5.1413043478260869</v>
      </c>
      <c r="Q107" s="32"/>
      <c r="R107" s="9"/>
      <c r="S107" s="32"/>
      <c r="T107" s="9">
        <v>92</v>
      </c>
      <c r="U107" s="7">
        <v>0.15940420361584984</v>
      </c>
      <c r="V107" s="9">
        <f t="shared" si="184"/>
        <v>3</v>
      </c>
      <c r="W107" s="38">
        <f>AVERAGE(V$6:V107)</f>
        <v>4.7608695652173916</v>
      </c>
      <c r="X107" s="32"/>
      <c r="Y107" s="9"/>
      <c r="Z107" s="32"/>
      <c r="AA107" s="9">
        <v>92</v>
      </c>
      <c r="AB107" s="7">
        <v>0.68146327455178834</v>
      </c>
      <c r="AC107" s="9">
        <f t="shared" si="185"/>
        <v>6</v>
      </c>
      <c r="AD107" s="38">
        <f>AVERAGE(AC$6:AC107)</f>
        <v>5.0108695652173916</v>
      </c>
      <c r="AE107" s="32"/>
      <c r="AF107" s="9"/>
      <c r="AG107" s="32"/>
      <c r="AH107" s="9">
        <v>92</v>
      </c>
      <c r="AI107" s="7">
        <v>0.7255142577632796</v>
      </c>
      <c r="AJ107" s="9">
        <f t="shared" si="186"/>
        <v>6</v>
      </c>
      <c r="AK107" s="38">
        <f>AVERAGE(AJ$6:AJ107)</f>
        <v>4.8695652173913047</v>
      </c>
      <c r="AL107" s="32"/>
      <c r="AM107" s="9"/>
      <c r="AN107" s="32"/>
      <c r="AO107" s="9">
        <v>92</v>
      </c>
      <c r="AP107" s="7">
        <v>0.23476050308090635</v>
      </c>
      <c r="AQ107" s="9">
        <f t="shared" si="187"/>
        <v>3</v>
      </c>
      <c r="AR107" s="38">
        <f>AVERAGE(AQ$6:AQ107)</f>
        <v>5.1413043478260869</v>
      </c>
      <c r="AS107" s="32"/>
      <c r="AT107" s="9"/>
      <c r="AU107" s="32"/>
      <c r="AV107" s="9">
        <v>92</v>
      </c>
      <c r="AW107" s="7">
        <v>0.60928260089713149</v>
      </c>
      <c r="AX107" s="9">
        <f t="shared" si="188"/>
        <v>5</v>
      </c>
      <c r="AY107" s="38">
        <f>AVERAGE(AX$6:AX107)</f>
        <v>4.7608695652173916</v>
      </c>
      <c r="AZ107" s="32"/>
      <c r="BA107" s="9"/>
      <c r="BB107" s="32"/>
      <c r="BC107" s="9">
        <v>92</v>
      </c>
      <c r="BD107" s="7">
        <v>6.3946018752176315E-2</v>
      </c>
      <c r="BE107" s="9">
        <f t="shared" si="189"/>
        <v>2</v>
      </c>
      <c r="BF107" s="38">
        <f>AVERAGE(BE$6:BE107)</f>
        <v>4.7717391304347823</v>
      </c>
      <c r="BG107" s="32"/>
      <c r="BH107" s="9"/>
      <c r="BI107" s="32"/>
      <c r="BJ107" s="9">
        <v>92</v>
      </c>
      <c r="BK107" s="7">
        <v>0.15973999691777863</v>
      </c>
      <c r="BL107" s="9">
        <f t="shared" si="190"/>
        <v>3</v>
      </c>
      <c r="BM107" s="38">
        <f>AVERAGE(BL$6:BL107)</f>
        <v>5.2826086956521738</v>
      </c>
      <c r="BN107" s="32"/>
      <c r="BO107" s="9"/>
      <c r="BP107" s="32"/>
      <c r="BQ107" s="9">
        <v>92</v>
      </c>
      <c r="BR107" s="7">
        <v>0.61225675072637387</v>
      </c>
      <c r="BS107" s="9">
        <f t="shared" si="191"/>
        <v>5</v>
      </c>
      <c r="BT107" s="38">
        <f>AVERAGE(BS$6:BS107)</f>
        <v>4.9021739130434785</v>
      </c>
      <c r="BU107" s="32"/>
      <c r="BV107" s="9"/>
      <c r="BW107" s="32"/>
      <c r="BX107" s="9">
        <v>92</v>
      </c>
      <c r="BY107" s="7">
        <v>0.72392644485807978</v>
      </c>
      <c r="BZ107" s="9">
        <f t="shared" si="192"/>
        <v>6</v>
      </c>
      <c r="CA107" s="38">
        <f>AVERAGE(BZ$6:BZ107)</f>
        <v>5</v>
      </c>
      <c r="CB107" s="32"/>
      <c r="CC107" s="9"/>
      <c r="CD107" s="32"/>
      <c r="CE107" s="9">
        <v>92</v>
      </c>
      <c r="CF107" s="7">
        <v>0.17360336615820415</v>
      </c>
      <c r="CG107" s="9">
        <f t="shared" si="193"/>
        <v>3</v>
      </c>
      <c r="CH107" s="38">
        <f>AVERAGE(CG$6:CG107)</f>
        <v>4.9782608695652177</v>
      </c>
      <c r="CI107" s="32"/>
      <c r="CJ107" s="9"/>
      <c r="CK107" s="32"/>
      <c r="CL107" s="9">
        <v>92</v>
      </c>
      <c r="CM107" s="7">
        <v>0.10911470424616709</v>
      </c>
      <c r="CN107" s="9">
        <f t="shared" si="194"/>
        <v>2</v>
      </c>
      <c r="CO107" s="38">
        <f>AVERAGE(CN$6:CN107)</f>
        <v>4.7282608695652177</v>
      </c>
      <c r="CP107" s="32"/>
      <c r="CQ107" s="9"/>
      <c r="CR107" s="32"/>
      <c r="CS107" s="9">
        <v>92</v>
      </c>
      <c r="CT107" s="7">
        <v>0.21128151589073241</v>
      </c>
      <c r="CU107" s="9">
        <f t="shared" si="195"/>
        <v>3</v>
      </c>
      <c r="CV107" s="38">
        <f>AVERAGE(CU$6:CU107)</f>
        <v>4.9782608695652177</v>
      </c>
      <c r="CW107" s="32"/>
      <c r="CX107" s="9"/>
      <c r="CY107" s="32"/>
      <c r="CZ107" s="9">
        <v>92</v>
      </c>
      <c r="DA107" s="7">
        <v>0.71346175926737487</v>
      </c>
      <c r="DB107" s="9">
        <f t="shared" si="196"/>
        <v>6</v>
      </c>
      <c r="DC107" s="38">
        <f>AVERAGE(DB$6:DB107)</f>
        <v>5.0326086956521738</v>
      </c>
      <c r="DD107" s="32"/>
      <c r="DE107" s="9"/>
      <c r="DF107" s="32"/>
      <c r="DG107" s="9">
        <v>92</v>
      </c>
      <c r="DH107" s="7">
        <v>0.36387214422575198</v>
      </c>
      <c r="DI107" s="9">
        <f t="shared" si="197"/>
        <v>4</v>
      </c>
      <c r="DJ107" s="38">
        <f>AVERAGE(DI$6:DI107)</f>
        <v>5.2282608695652177</v>
      </c>
      <c r="DK107" s="32"/>
      <c r="DL107" s="9"/>
      <c r="DM107" s="32"/>
      <c r="DN107" s="9">
        <v>92</v>
      </c>
      <c r="DO107" s="7">
        <v>0.80080339856795035</v>
      </c>
      <c r="DP107" s="9">
        <f t="shared" si="198"/>
        <v>7</v>
      </c>
      <c r="DQ107" s="38">
        <f>AVERAGE(DP$6:DP107)</f>
        <v>5.1847826086956523</v>
      </c>
      <c r="DR107" s="32"/>
      <c r="DS107" s="9"/>
      <c r="DT107" s="32"/>
      <c r="DU107" s="9">
        <v>92</v>
      </c>
      <c r="DV107" s="7">
        <v>0.3604063019156456</v>
      </c>
      <c r="DW107" s="9">
        <f t="shared" si="199"/>
        <v>4</v>
      </c>
      <c r="DX107" s="38">
        <f>AVERAGE(DW$6:DW107)</f>
        <v>4.9891304347826084</v>
      </c>
      <c r="DY107" s="32"/>
      <c r="DZ107" s="9"/>
      <c r="EA107" s="32"/>
      <c r="EB107" s="9">
        <v>92</v>
      </c>
      <c r="EC107" s="7">
        <v>0.40937662302167155</v>
      </c>
      <c r="ED107" s="9">
        <f t="shared" si="200"/>
        <v>4</v>
      </c>
      <c r="EE107" s="38">
        <f>AVERAGE(ED$6:ED107)</f>
        <v>4.5543478260869561</v>
      </c>
      <c r="EF107" s="32"/>
      <c r="EG107" s="9"/>
      <c r="EH107" s="32"/>
      <c r="EI107" s="9">
        <v>92</v>
      </c>
      <c r="EJ107" s="7">
        <v>0.91792969987727702</v>
      </c>
      <c r="EK107" s="9">
        <f t="shared" si="201"/>
        <v>8</v>
      </c>
      <c r="EL107" s="38">
        <f>AVERAGE(EK$6:EK107)</f>
        <v>4.9565217391304346</v>
      </c>
      <c r="EM107" s="32"/>
      <c r="EN107" s="9"/>
      <c r="EO107" s="32"/>
      <c r="EP107" s="9">
        <v>92</v>
      </c>
      <c r="EQ107" s="7">
        <v>0.32008979565580375</v>
      </c>
      <c r="ER107" s="9">
        <f t="shared" si="202"/>
        <v>4</v>
      </c>
      <c r="ES107" s="38">
        <f>AVERAGE(ER$6:ER107)</f>
        <v>4.9130434782608692</v>
      </c>
      <c r="ET107" s="32"/>
    </row>
    <row r="108" spans="5:150" x14ac:dyDescent="0.25">
      <c r="E108" s="7"/>
      <c r="L108" s="32"/>
      <c r="M108" s="9">
        <v>93</v>
      </c>
      <c r="N108" s="7">
        <v>0.13813703379128128</v>
      </c>
      <c r="O108" s="9">
        <f t="shared" si="203"/>
        <v>3</v>
      </c>
      <c r="P108" s="38">
        <f>AVERAGE(O$6:O108)</f>
        <v>5.118279569892473</v>
      </c>
      <c r="Q108" s="32"/>
      <c r="R108" s="9"/>
      <c r="S108" s="32"/>
      <c r="T108" s="9">
        <v>93</v>
      </c>
      <c r="U108" s="7">
        <v>9.3164862191770226E-2</v>
      </c>
      <c r="V108" s="9">
        <f t="shared" si="184"/>
        <v>2</v>
      </c>
      <c r="W108" s="38">
        <f>AVERAGE(V$6:V108)</f>
        <v>4.731182795698925</v>
      </c>
      <c r="X108" s="32"/>
      <c r="Y108" s="9"/>
      <c r="Z108" s="32"/>
      <c r="AA108" s="9">
        <v>93</v>
      </c>
      <c r="AB108" s="7">
        <v>0.95358639420010149</v>
      </c>
      <c r="AC108" s="9">
        <f t="shared" si="185"/>
        <v>9</v>
      </c>
      <c r="AD108" s="38">
        <f>AVERAGE(AC$6:AC108)</f>
        <v>5.053763440860215</v>
      </c>
      <c r="AE108" s="32"/>
      <c r="AF108" s="9"/>
      <c r="AG108" s="32"/>
      <c r="AH108" s="9">
        <v>93</v>
      </c>
      <c r="AI108" s="7">
        <v>0.63984274811809883</v>
      </c>
      <c r="AJ108" s="9">
        <f t="shared" si="186"/>
        <v>6</v>
      </c>
      <c r="AK108" s="38">
        <f>AVERAGE(AJ$6:AJ108)</f>
        <v>4.881720430107527</v>
      </c>
      <c r="AL108" s="32"/>
      <c r="AM108" s="9"/>
      <c r="AN108" s="32"/>
      <c r="AO108" s="9">
        <v>93</v>
      </c>
      <c r="AP108" s="7">
        <v>0.90165908669587225</v>
      </c>
      <c r="AQ108" s="9">
        <f t="shared" si="187"/>
        <v>8</v>
      </c>
      <c r="AR108" s="38">
        <f>AVERAGE(AQ$6:AQ108)</f>
        <v>5.172043010752688</v>
      </c>
      <c r="AS108" s="32"/>
      <c r="AT108" s="9"/>
      <c r="AU108" s="32"/>
      <c r="AV108" s="9">
        <v>93</v>
      </c>
      <c r="AW108" s="7">
        <v>0.78053946205182001</v>
      </c>
      <c r="AX108" s="9">
        <f t="shared" si="188"/>
        <v>7</v>
      </c>
      <c r="AY108" s="38">
        <f>AVERAGE(AX$6:AX108)</f>
        <v>4.78494623655914</v>
      </c>
      <c r="AZ108" s="32"/>
      <c r="BA108" s="9"/>
      <c r="BB108" s="32"/>
      <c r="BC108" s="9">
        <v>93</v>
      </c>
      <c r="BD108" s="7">
        <v>0.93219965739990585</v>
      </c>
      <c r="BE108" s="9">
        <f t="shared" si="189"/>
        <v>9</v>
      </c>
      <c r="BF108" s="38">
        <f>AVERAGE(BE$6:BE108)</f>
        <v>4.817204301075269</v>
      </c>
      <c r="BG108" s="32"/>
      <c r="BH108" s="9"/>
      <c r="BI108" s="32"/>
      <c r="BJ108" s="9">
        <v>93</v>
      </c>
      <c r="BK108" s="7">
        <v>0.26609841268509626</v>
      </c>
      <c r="BL108" s="9">
        <f t="shared" si="190"/>
        <v>4</v>
      </c>
      <c r="BM108" s="38">
        <f>AVERAGE(BL$6:BL108)</f>
        <v>5.268817204301075</v>
      </c>
      <c r="BN108" s="32"/>
      <c r="BO108" s="9"/>
      <c r="BP108" s="32"/>
      <c r="BQ108" s="9">
        <v>93</v>
      </c>
      <c r="BR108" s="7">
        <v>0.31222662411164492</v>
      </c>
      <c r="BS108" s="9">
        <f t="shared" si="191"/>
        <v>4</v>
      </c>
      <c r="BT108" s="38">
        <f>AVERAGE(BS$6:BS108)</f>
        <v>4.89247311827957</v>
      </c>
      <c r="BU108" s="32"/>
      <c r="BV108" s="9"/>
      <c r="BW108" s="32"/>
      <c r="BX108" s="9">
        <v>93</v>
      </c>
      <c r="BY108" s="7">
        <v>0.82211910194018856</v>
      </c>
      <c r="BZ108" s="9">
        <f t="shared" si="192"/>
        <v>7</v>
      </c>
      <c r="CA108" s="38">
        <f>AVERAGE(BZ$6:BZ108)</f>
        <v>5.021505376344086</v>
      </c>
      <c r="CB108" s="32"/>
      <c r="CC108" s="9"/>
      <c r="CD108" s="32"/>
      <c r="CE108" s="9">
        <v>93</v>
      </c>
      <c r="CF108" s="7">
        <v>0.40573357150424272</v>
      </c>
      <c r="CG108" s="9">
        <f t="shared" si="193"/>
        <v>4</v>
      </c>
      <c r="CH108" s="38">
        <f>AVERAGE(CG$6:CG108)</f>
        <v>4.967741935483871</v>
      </c>
      <c r="CI108" s="32"/>
      <c r="CJ108" s="9"/>
      <c r="CK108" s="32"/>
      <c r="CL108" s="9">
        <v>93</v>
      </c>
      <c r="CM108" s="7">
        <v>0.19407268680515699</v>
      </c>
      <c r="CN108" s="9">
        <f t="shared" si="194"/>
        <v>3</v>
      </c>
      <c r="CO108" s="38">
        <f>AVERAGE(CN$6:CN108)</f>
        <v>4.709677419354839</v>
      </c>
      <c r="CP108" s="32"/>
      <c r="CQ108" s="9"/>
      <c r="CR108" s="32"/>
      <c r="CS108" s="9">
        <v>93</v>
      </c>
      <c r="CT108" s="7">
        <v>0.80998068375629373</v>
      </c>
      <c r="CU108" s="9">
        <f t="shared" si="195"/>
        <v>7</v>
      </c>
      <c r="CV108" s="38">
        <f>AVERAGE(CU$6:CU108)</f>
        <v>5</v>
      </c>
      <c r="CW108" s="32"/>
      <c r="CX108" s="9"/>
      <c r="CY108" s="32"/>
      <c r="CZ108" s="9">
        <v>93</v>
      </c>
      <c r="DA108" s="7">
        <v>0.43280602272716351</v>
      </c>
      <c r="DB108" s="9">
        <f t="shared" si="196"/>
        <v>4</v>
      </c>
      <c r="DC108" s="38">
        <f>AVERAGE(DB$6:DB108)</f>
        <v>5.021505376344086</v>
      </c>
      <c r="DD108" s="32"/>
      <c r="DE108" s="9"/>
      <c r="DF108" s="32"/>
      <c r="DG108" s="9">
        <v>93</v>
      </c>
      <c r="DH108" s="7">
        <v>0.39415427629137412</v>
      </c>
      <c r="DI108" s="9">
        <f t="shared" si="197"/>
        <v>4</v>
      </c>
      <c r="DJ108" s="38">
        <f>AVERAGE(DI$6:DI108)</f>
        <v>5.21505376344086</v>
      </c>
      <c r="DK108" s="32"/>
      <c r="DL108" s="9"/>
      <c r="DM108" s="32"/>
      <c r="DN108" s="9">
        <v>93</v>
      </c>
      <c r="DO108" s="7">
        <v>0.41375026252353564</v>
      </c>
      <c r="DP108" s="9">
        <f t="shared" si="198"/>
        <v>4</v>
      </c>
      <c r="DQ108" s="38">
        <f>AVERAGE(DP$6:DP108)</f>
        <v>5.172043010752688</v>
      </c>
      <c r="DR108" s="32"/>
      <c r="DS108" s="9"/>
      <c r="DT108" s="32"/>
      <c r="DU108" s="9">
        <v>93</v>
      </c>
      <c r="DV108" s="7">
        <v>0.6092454865865875</v>
      </c>
      <c r="DW108" s="9">
        <f t="shared" si="199"/>
        <v>5</v>
      </c>
      <c r="DX108" s="38">
        <f>AVERAGE(DW$6:DW108)</f>
        <v>4.989247311827957</v>
      </c>
      <c r="DY108" s="32"/>
      <c r="DZ108" s="9"/>
      <c r="EA108" s="32"/>
      <c r="EB108" s="9">
        <v>93</v>
      </c>
      <c r="EC108" s="7">
        <v>0.8289608561899513</v>
      </c>
      <c r="ED108" s="9">
        <f t="shared" si="200"/>
        <v>7</v>
      </c>
      <c r="EE108" s="38">
        <f>AVERAGE(ED$6:ED108)</f>
        <v>4.580645161290323</v>
      </c>
      <c r="EF108" s="32"/>
      <c r="EG108" s="9"/>
      <c r="EH108" s="32"/>
      <c r="EI108" s="9">
        <v>93</v>
      </c>
      <c r="EJ108" s="7">
        <v>0.7337954368267674</v>
      </c>
      <c r="EK108" s="9">
        <f t="shared" si="201"/>
        <v>6</v>
      </c>
      <c r="EL108" s="38">
        <f>AVERAGE(EK$6:EK108)</f>
        <v>4.967741935483871</v>
      </c>
      <c r="EM108" s="32"/>
      <c r="EN108" s="9"/>
      <c r="EO108" s="32"/>
      <c r="EP108" s="9">
        <v>93</v>
      </c>
      <c r="EQ108" s="7">
        <v>0.84624476276803762</v>
      </c>
      <c r="ER108" s="9">
        <f t="shared" si="202"/>
        <v>7</v>
      </c>
      <c r="ES108" s="38">
        <f>AVERAGE(ER$6:ER108)</f>
        <v>4.935483870967742</v>
      </c>
      <c r="ET108" s="32"/>
    </row>
    <row r="109" spans="5:150" x14ac:dyDescent="0.25">
      <c r="E109" s="7"/>
      <c r="L109" s="32"/>
      <c r="M109" s="9">
        <v>94</v>
      </c>
      <c r="N109" s="7">
        <v>0.14057240253896452</v>
      </c>
      <c r="O109" s="9">
        <f t="shared" si="203"/>
        <v>3</v>
      </c>
      <c r="P109" s="38">
        <f>AVERAGE(O$6:O109)</f>
        <v>5.0957446808510642</v>
      </c>
      <c r="Q109" s="32"/>
      <c r="R109" s="9"/>
      <c r="S109" s="32"/>
      <c r="T109" s="9">
        <v>94</v>
      </c>
      <c r="U109" s="7">
        <v>0.9799040287907701</v>
      </c>
      <c r="V109" s="9">
        <f t="shared" si="184"/>
        <v>10</v>
      </c>
      <c r="W109" s="38">
        <f>AVERAGE(V$6:V109)</f>
        <v>4.7872340425531918</v>
      </c>
      <c r="X109" s="32"/>
      <c r="Y109" s="9"/>
      <c r="Z109" s="32"/>
      <c r="AA109" s="9">
        <v>94</v>
      </c>
      <c r="AB109" s="7">
        <v>9.6993013081373647E-2</v>
      </c>
      <c r="AC109" s="9">
        <f t="shared" si="185"/>
        <v>2</v>
      </c>
      <c r="AD109" s="38">
        <f>AVERAGE(AC$6:AC109)</f>
        <v>5.0212765957446805</v>
      </c>
      <c r="AE109" s="32"/>
      <c r="AF109" s="9"/>
      <c r="AG109" s="32"/>
      <c r="AH109" s="9">
        <v>94</v>
      </c>
      <c r="AI109" s="7">
        <v>0.51901528084999882</v>
      </c>
      <c r="AJ109" s="9">
        <f t="shared" si="186"/>
        <v>5</v>
      </c>
      <c r="AK109" s="38">
        <f>AVERAGE(AJ$6:AJ109)</f>
        <v>4.8829787234042552</v>
      </c>
      <c r="AL109" s="32"/>
      <c r="AM109" s="9"/>
      <c r="AN109" s="32"/>
      <c r="AO109" s="9">
        <v>94</v>
      </c>
      <c r="AP109" s="7">
        <v>0.35442964840331115</v>
      </c>
      <c r="AQ109" s="9">
        <f t="shared" si="187"/>
        <v>4</v>
      </c>
      <c r="AR109" s="38">
        <f>AVERAGE(AQ$6:AQ109)</f>
        <v>5.1595744680851068</v>
      </c>
      <c r="AS109" s="32"/>
      <c r="AT109" s="9"/>
      <c r="AU109" s="32"/>
      <c r="AV109" s="9">
        <v>94</v>
      </c>
      <c r="AW109" s="7">
        <v>0.97782295671640895</v>
      </c>
      <c r="AX109" s="9">
        <f t="shared" si="188"/>
        <v>10</v>
      </c>
      <c r="AY109" s="38">
        <f>AVERAGE(AX$6:AX109)</f>
        <v>4.8404255319148932</v>
      </c>
      <c r="AZ109" s="32"/>
      <c r="BA109" s="9"/>
      <c r="BB109" s="32"/>
      <c r="BC109" s="9">
        <v>94</v>
      </c>
      <c r="BD109" s="7">
        <v>8.2823560980614275E-2</v>
      </c>
      <c r="BE109" s="9">
        <f t="shared" si="189"/>
        <v>2</v>
      </c>
      <c r="BF109" s="38">
        <f>AVERAGE(BE$6:BE109)</f>
        <v>4.7872340425531918</v>
      </c>
      <c r="BG109" s="32"/>
      <c r="BH109" s="9"/>
      <c r="BI109" s="32"/>
      <c r="BJ109" s="9">
        <v>94</v>
      </c>
      <c r="BK109" s="7">
        <v>4.0682532853679731E-2</v>
      </c>
      <c r="BL109" s="9">
        <f t="shared" si="190"/>
        <v>2</v>
      </c>
      <c r="BM109" s="38">
        <f>AVERAGE(BL$6:BL109)</f>
        <v>5.2340425531914896</v>
      </c>
      <c r="BN109" s="32"/>
      <c r="BO109" s="9"/>
      <c r="BP109" s="32"/>
      <c r="BQ109" s="9">
        <v>94</v>
      </c>
      <c r="BR109" s="7">
        <v>0.79671141752623953</v>
      </c>
      <c r="BS109" s="9">
        <f t="shared" si="191"/>
        <v>7</v>
      </c>
      <c r="BT109" s="38">
        <f>AVERAGE(BS$6:BS109)</f>
        <v>4.9148936170212769</v>
      </c>
      <c r="BU109" s="32"/>
      <c r="BV109" s="9"/>
      <c r="BW109" s="32"/>
      <c r="BX109" s="9">
        <v>94</v>
      </c>
      <c r="BY109" s="7">
        <v>0.39133749922621064</v>
      </c>
      <c r="BZ109" s="9">
        <f t="shared" si="192"/>
        <v>4</v>
      </c>
      <c r="CA109" s="38">
        <f>AVERAGE(BZ$6:BZ109)</f>
        <v>5.0106382978723403</v>
      </c>
      <c r="CB109" s="32"/>
      <c r="CC109" s="9"/>
      <c r="CD109" s="32"/>
      <c r="CE109" s="9">
        <v>94</v>
      </c>
      <c r="CF109" s="7">
        <v>0.95278932471410371</v>
      </c>
      <c r="CG109" s="9">
        <f t="shared" si="193"/>
        <v>9</v>
      </c>
      <c r="CH109" s="38">
        <f>AVERAGE(CG$6:CG109)</f>
        <v>5.0106382978723403</v>
      </c>
      <c r="CI109" s="32"/>
      <c r="CJ109" s="9"/>
      <c r="CK109" s="32"/>
      <c r="CL109" s="9">
        <v>94</v>
      </c>
      <c r="CM109" s="7">
        <v>0.94743370468495414</v>
      </c>
      <c r="CN109" s="9">
        <f t="shared" si="194"/>
        <v>9</v>
      </c>
      <c r="CO109" s="38">
        <f>AVERAGE(CN$6:CN109)</f>
        <v>4.7553191489361701</v>
      </c>
      <c r="CP109" s="32"/>
      <c r="CQ109" s="9"/>
      <c r="CR109" s="32"/>
      <c r="CS109" s="9">
        <v>94</v>
      </c>
      <c r="CT109" s="7">
        <v>0.14005213452037424</v>
      </c>
      <c r="CU109" s="9">
        <f t="shared" si="195"/>
        <v>3</v>
      </c>
      <c r="CV109" s="38">
        <f>AVERAGE(CU$6:CU109)</f>
        <v>4.9787234042553195</v>
      </c>
      <c r="CW109" s="32"/>
      <c r="CX109" s="9"/>
      <c r="CY109" s="32"/>
      <c r="CZ109" s="9">
        <v>94</v>
      </c>
      <c r="DA109" s="7">
        <v>0.89510170451831073</v>
      </c>
      <c r="DB109" s="9">
        <f t="shared" si="196"/>
        <v>8</v>
      </c>
      <c r="DC109" s="38">
        <f>AVERAGE(DB$6:DB109)</f>
        <v>5.0531914893617023</v>
      </c>
      <c r="DD109" s="32"/>
      <c r="DE109" s="9"/>
      <c r="DF109" s="32"/>
      <c r="DG109" s="9">
        <v>94</v>
      </c>
      <c r="DH109" s="7">
        <v>0.98945229008677416</v>
      </c>
      <c r="DI109" s="9">
        <f t="shared" si="197"/>
        <v>11</v>
      </c>
      <c r="DJ109" s="38">
        <f>AVERAGE(DI$6:DI109)</f>
        <v>5.2765957446808507</v>
      </c>
      <c r="DK109" s="32"/>
      <c r="DL109" s="9"/>
      <c r="DM109" s="32"/>
      <c r="DN109" s="9">
        <v>94</v>
      </c>
      <c r="DO109" s="7">
        <v>8.138519964995794E-2</v>
      </c>
      <c r="DP109" s="9">
        <f t="shared" si="198"/>
        <v>2</v>
      </c>
      <c r="DQ109" s="38">
        <f>AVERAGE(DP$6:DP109)</f>
        <v>5.1382978723404253</v>
      </c>
      <c r="DR109" s="32"/>
      <c r="DS109" s="9"/>
      <c r="DT109" s="32"/>
      <c r="DU109" s="9">
        <v>94</v>
      </c>
      <c r="DV109" s="7">
        <v>0.76142559212166816</v>
      </c>
      <c r="DW109" s="9">
        <f t="shared" si="199"/>
        <v>6</v>
      </c>
      <c r="DX109" s="38">
        <f>AVERAGE(DW$6:DW109)</f>
        <v>5</v>
      </c>
      <c r="DY109" s="32"/>
      <c r="DZ109" s="9"/>
      <c r="EA109" s="32"/>
      <c r="EB109" s="9">
        <v>94</v>
      </c>
      <c r="EC109" s="7">
        <v>0.91484093785402365</v>
      </c>
      <c r="ED109" s="9">
        <f t="shared" si="200"/>
        <v>8</v>
      </c>
      <c r="EE109" s="38">
        <f>AVERAGE(ED$6:ED109)</f>
        <v>4.6170212765957448</v>
      </c>
      <c r="EF109" s="32"/>
      <c r="EG109" s="9"/>
      <c r="EH109" s="32"/>
      <c r="EI109" s="9">
        <v>94</v>
      </c>
      <c r="EJ109" s="7">
        <v>0.90464996581431478</v>
      </c>
      <c r="EK109" s="9">
        <f t="shared" si="201"/>
        <v>8</v>
      </c>
      <c r="EL109" s="38">
        <f>AVERAGE(EK$6:EK109)</f>
        <v>5</v>
      </c>
      <c r="EM109" s="32"/>
      <c r="EN109" s="9"/>
      <c r="EO109" s="32"/>
      <c r="EP109" s="9">
        <v>94</v>
      </c>
      <c r="EQ109" s="7">
        <v>0.81605282556847669</v>
      </c>
      <c r="ER109" s="9">
        <f t="shared" si="202"/>
        <v>7</v>
      </c>
      <c r="ES109" s="38">
        <f>AVERAGE(ER$6:ER109)</f>
        <v>4.957446808510638</v>
      </c>
      <c r="ET109" s="32"/>
    </row>
    <row r="110" spans="5:150" x14ac:dyDescent="0.25">
      <c r="E110" s="7"/>
      <c r="L110" s="32"/>
      <c r="M110" s="9">
        <v>95</v>
      </c>
      <c r="N110" s="7">
        <v>0.39478730759583414</v>
      </c>
      <c r="O110" s="9">
        <f t="shared" si="203"/>
        <v>4</v>
      </c>
      <c r="P110" s="38">
        <f>AVERAGE(O$6:O110)</f>
        <v>5.0842105263157897</v>
      </c>
      <c r="Q110" s="32"/>
      <c r="R110" s="9"/>
      <c r="S110" s="32"/>
      <c r="T110" s="9">
        <v>95</v>
      </c>
      <c r="U110" s="7">
        <v>0.65057482727570459</v>
      </c>
      <c r="V110" s="9">
        <f t="shared" si="184"/>
        <v>6</v>
      </c>
      <c r="W110" s="38">
        <f>AVERAGE(V$6:V110)</f>
        <v>4.8</v>
      </c>
      <c r="X110" s="32"/>
      <c r="Y110" s="9"/>
      <c r="Z110" s="32"/>
      <c r="AA110" s="9">
        <v>95</v>
      </c>
      <c r="AB110" s="7">
        <v>0.95140173693653196</v>
      </c>
      <c r="AC110" s="9">
        <f t="shared" si="185"/>
        <v>9</v>
      </c>
      <c r="AD110" s="38">
        <f>AVERAGE(AC$6:AC110)</f>
        <v>5.0631578947368423</v>
      </c>
      <c r="AE110" s="32"/>
      <c r="AF110" s="9"/>
      <c r="AG110" s="32"/>
      <c r="AH110" s="9">
        <v>95</v>
      </c>
      <c r="AI110" s="7">
        <v>0.29286963777849451</v>
      </c>
      <c r="AJ110" s="9">
        <f t="shared" si="186"/>
        <v>4</v>
      </c>
      <c r="AK110" s="38">
        <f>AVERAGE(AJ$6:AJ110)</f>
        <v>4.8736842105263154</v>
      </c>
      <c r="AL110" s="32"/>
      <c r="AM110" s="9"/>
      <c r="AN110" s="32"/>
      <c r="AO110" s="9">
        <v>95</v>
      </c>
      <c r="AP110" s="7">
        <v>0.5312689277343452</v>
      </c>
      <c r="AQ110" s="9">
        <f t="shared" si="187"/>
        <v>5</v>
      </c>
      <c r="AR110" s="38">
        <f>AVERAGE(AQ$6:AQ110)</f>
        <v>5.1578947368421053</v>
      </c>
      <c r="AS110" s="32"/>
      <c r="AT110" s="9"/>
      <c r="AU110" s="32"/>
      <c r="AV110" s="9">
        <v>95</v>
      </c>
      <c r="AW110" s="7">
        <v>0.57882270897971466</v>
      </c>
      <c r="AX110" s="9">
        <f t="shared" si="188"/>
        <v>5</v>
      </c>
      <c r="AY110" s="38">
        <f>AVERAGE(AX$6:AX110)</f>
        <v>4.8421052631578947</v>
      </c>
      <c r="AZ110" s="32"/>
      <c r="BA110" s="9"/>
      <c r="BB110" s="32"/>
      <c r="BC110" s="9">
        <v>95</v>
      </c>
      <c r="BD110" s="7">
        <v>0.65413390504545532</v>
      </c>
      <c r="BE110" s="9">
        <f t="shared" si="189"/>
        <v>6</v>
      </c>
      <c r="BF110" s="38">
        <f>AVERAGE(BE$6:BE110)</f>
        <v>4.8</v>
      </c>
      <c r="BG110" s="32"/>
      <c r="BH110" s="9"/>
      <c r="BI110" s="32"/>
      <c r="BJ110" s="9">
        <v>95</v>
      </c>
      <c r="BK110" s="7">
        <v>0.95150441967416555</v>
      </c>
      <c r="BL110" s="9">
        <f t="shared" si="190"/>
        <v>9</v>
      </c>
      <c r="BM110" s="38">
        <f>AVERAGE(BL$6:BL110)</f>
        <v>5.2736842105263158</v>
      </c>
      <c r="BN110" s="32"/>
      <c r="BO110" s="9"/>
      <c r="BP110" s="32"/>
      <c r="BQ110" s="9">
        <v>95</v>
      </c>
      <c r="BR110" s="7">
        <v>0.3063800260424614</v>
      </c>
      <c r="BS110" s="9">
        <f t="shared" si="191"/>
        <v>4</v>
      </c>
      <c r="BT110" s="38">
        <f>AVERAGE(BS$6:BS110)</f>
        <v>4.905263157894737</v>
      </c>
      <c r="BU110" s="32"/>
      <c r="BV110" s="9"/>
      <c r="BW110" s="32"/>
      <c r="BX110" s="9">
        <v>95</v>
      </c>
      <c r="BY110" s="7">
        <v>0.53881210152758285</v>
      </c>
      <c r="BZ110" s="9">
        <f t="shared" si="192"/>
        <v>5</v>
      </c>
      <c r="CA110" s="38">
        <f>AVERAGE(BZ$6:BZ110)</f>
        <v>5.0105263157894733</v>
      </c>
      <c r="CB110" s="32"/>
      <c r="CC110" s="9"/>
      <c r="CD110" s="32"/>
      <c r="CE110" s="9">
        <v>95</v>
      </c>
      <c r="CF110" s="7">
        <v>0.68650222779251635</v>
      </c>
      <c r="CG110" s="9">
        <f t="shared" si="193"/>
        <v>6</v>
      </c>
      <c r="CH110" s="38">
        <f>AVERAGE(CG$6:CG110)</f>
        <v>5.0210526315789474</v>
      </c>
      <c r="CI110" s="32"/>
      <c r="CJ110" s="9"/>
      <c r="CK110" s="32"/>
      <c r="CL110" s="9">
        <v>95</v>
      </c>
      <c r="CM110" s="7">
        <v>0.92835791278048418</v>
      </c>
      <c r="CN110" s="9">
        <f t="shared" si="194"/>
        <v>8</v>
      </c>
      <c r="CO110" s="38">
        <f>AVERAGE(CN$6:CN110)</f>
        <v>4.7894736842105265</v>
      </c>
      <c r="CP110" s="32"/>
      <c r="CQ110" s="9"/>
      <c r="CR110" s="32"/>
      <c r="CS110" s="9">
        <v>95</v>
      </c>
      <c r="CT110" s="7">
        <v>0.12684927802183665</v>
      </c>
      <c r="CU110" s="9">
        <f t="shared" si="195"/>
        <v>3</v>
      </c>
      <c r="CV110" s="38">
        <f>AVERAGE(CU$6:CU110)</f>
        <v>4.9578947368421051</v>
      </c>
      <c r="CW110" s="32"/>
      <c r="CX110" s="9"/>
      <c r="CY110" s="32"/>
      <c r="CZ110" s="9">
        <v>95</v>
      </c>
      <c r="DA110" s="7">
        <v>0.97737782695912756</v>
      </c>
      <c r="DB110" s="9">
        <f t="shared" si="196"/>
        <v>10</v>
      </c>
      <c r="DC110" s="38">
        <f>AVERAGE(DB$6:DB110)</f>
        <v>5.1052631578947372</v>
      </c>
      <c r="DD110" s="32"/>
      <c r="DE110" s="9"/>
      <c r="DF110" s="32"/>
      <c r="DG110" s="9">
        <v>95</v>
      </c>
      <c r="DH110" s="7">
        <v>0.56792939471779391</v>
      </c>
      <c r="DI110" s="9">
        <f t="shared" si="197"/>
        <v>5</v>
      </c>
      <c r="DJ110" s="38">
        <f>AVERAGE(DI$6:DI110)</f>
        <v>5.2736842105263158</v>
      </c>
      <c r="DK110" s="32"/>
      <c r="DL110" s="9"/>
      <c r="DM110" s="32"/>
      <c r="DN110" s="9">
        <v>95</v>
      </c>
      <c r="DO110" s="7">
        <v>0.91337781975744292</v>
      </c>
      <c r="DP110" s="9">
        <f t="shared" si="198"/>
        <v>8</v>
      </c>
      <c r="DQ110" s="38">
        <f>AVERAGE(DP$6:DP110)</f>
        <v>5.1684210526315786</v>
      </c>
      <c r="DR110" s="32"/>
      <c r="DS110" s="9"/>
      <c r="DT110" s="32"/>
      <c r="DU110" s="9">
        <v>95</v>
      </c>
      <c r="DV110" s="7">
        <v>0.13417994268820621</v>
      </c>
      <c r="DW110" s="9">
        <f t="shared" si="199"/>
        <v>3</v>
      </c>
      <c r="DX110" s="38">
        <f>AVERAGE(DW$6:DW110)</f>
        <v>4.9789473684210526</v>
      </c>
      <c r="DY110" s="32"/>
      <c r="DZ110" s="9"/>
      <c r="EA110" s="32"/>
      <c r="EB110" s="9">
        <v>95</v>
      </c>
      <c r="EC110" s="7">
        <v>0.14308299485128373</v>
      </c>
      <c r="ED110" s="9">
        <f t="shared" si="200"/>
        <v>3</v>
      </c>
      <c r="EE110" s="38">
        <f>AVERAGE(ED$6:ED110)</f>
        <v>4.5999999999999996</v>
      </c>
      <c r="EF110" s="32"/>
      <c r="EG110" s="9"/>
      <c r="EH110" s="32"/>
      <c r="EI110" s="9">
        <v>95</v>
      </c>
      <c r="EJ110" s="7">
        <v>0.89473239440121688</v>
      </c>
      <c r="EK110" s="9">
        <f t="shared" si="201"/>
        <v>8</v>
      </c>
      <c r="EL110" s="38">
        <f>AVERAGE(EK$6:EK110)</f>
        <v>5.0315789473684207</v>
      </c>
      <c r="EM110" s="32"/>
      <c r="EN110" s="9"/>
      <c r="EO110" s="32"/>
      <c r="EP110" s="9">
        <v>95</v>
      </c>
      <c r="EQ110" s="7">
        <v>0.26720516779460013</v>
      </c>
      <c r="ER110" s="9">
        <f t="shared" si="202"/>
        <v>4</v>
      </c>
      <c r="ES110" s="38">
        <f>AVERAGE(ER$6:ER110)</f>
        <v>4.9473684210526319</v>
      </c>
      <c r="ET110" s="32"/>
    </row>
    <row r="111" spans="5:150" x14ac:dyDescent="0.25">
      <c r="E111" s="7"/>
      <c r="L111" s="32"/>
      <c r="M111" s="9">
        <v>96</v>
      </c>
      <c r="N111" s="7">
        <v>0.31546341188368388</v>
      </c>
      <c r="O111" s="9">
        <f t="shared" si="203"/>
        <v>4</v>
      </c>
      <c r="P111" s="38">
        <f>AVERAGE(O$6:O111)</f>
        <v>5.072916666666667</v>
      </c>
      <c r="Q111" s="32"/>
      <c r="R111" s="9"/>
      <c r="S111" s="32"/>
      <c r="T111" s="9">
        <v>96</v>
      </c>
      <c r="U111" s="7">
        <v>4.6036047016968951E-2</v>
      </c>
      <c r="V111" s="9">
        <f t="shared" si="184"/>
        <v>2</v>
      </c>
      <c r="W111" s="38">
        <f>AVERAGE(V$6:V111)</f>
        <v>4.770833333333333</v>
      </c>
      <c r="X111" s="32"/>
      <c r="Y111" s="9"/>
      <c r="Z111" s="32"/>
      <c r="AA111" s="9">
        <v>96</v>
      </c>
      <c r="AB111" s="7">
        <v>0.97189452234306373</v>
      </c>
      <c r="AC111" s="9">
        <f t="shared" si="185"/>
        <v>10</v>
      </c>
      <c r="AD111" s="38">
        <f>AVERAGE(AC$6:AC111)</f>
        <v>5.114583333333333</v>
      </c>
      <c r="AE111" s="32"/>
      <c r="AF111" s="9"/>
      <c r="AG111" s="32"/>
      <c r="AH111" s="9">
        <v>96</v>
      </c>
      <c r="AI111" s="7">
        <v>0.82786345595377497</v>
      </c>
      <c r="AJ111" s="9">
        <f t="shared" si="186"/>
        <v>7</v>
      </c>
      <c r="AK111" s="38">
        <f>AVERAGE(AJ$6:AJ111)</f>
        <v>4.895833333333333</v>
      </c>
      <c r="AL111" s="32"/>
      <c r="AM111" s="9"/>
      <c r="AN111" s="32"/>
      <c r="AO111" s="9">
        <v>96</v>
      </c>
      <c r="AP111" s="7">
        <v>0.60349778321688063</v>
      </c>
      <c r="AQ111" s="9">
        <f t="shared" si="187"/>
        <v>5</v>
      </c>
      <c r="AR111" s="38">
        <f>AVERAGE(AQ$6:AQ111)</f>
        <v>5.15625</v>
      </c>
      <c r="AS111" s="32"/>
      <c r="AT111" s="9"/>
      <c r="AU111" s="32"/>
      <c r="AV111" s="9">
        <v>96</v>
      </c>
      <c r="AW111" s="7">
        <v>9.3695124582154676E-2</v>
      </c>
      <c r="AX111" s="9">
        <f t="shared" si="188"/>
        <v>2</v>
      </c>
      <c r="AY111" s="38">
        <f>AVERAGE(AX$6:AX111)</f>
        <v>4.8125</v>
      </c>
      <c r="AZ111" s="32"/>
      <c r="BA111" s="9"/>
      <c r="BB111" s="32"/>
      <c r="BC111" s="9">
        <v>96</v>
      </c>
      <c r="BD111" s="7">
        <v>0.87896109843859449</v>
      </c>
      <c r="BE111" s="9">
        <f t="shared" si="189"/>
        <v>8</v>
      </c>
      <c r="BF111" s="38">
        <f>AVERAGE(BE$6:BE111)</f>
        <v>4.833333333333333</v>
      </c>
      <c r="BG111" s="32"/>
      <c r="BH111" s="9"/>
      <c r="BI111" s="32"/>
      <c r="BJ111" s="9">
        <v>96</v>
      </c>
      <c r="BK111" s="7">
        <v>2.4776132224360481E-2</v>
      </c>
      <c r="BL111" s="9">
        <f t="shared" si="190"/>
        <v>1</v>
      </c>
      <c r="BM111" s="38">
        <f>AVERAGE(BL$6:BL111)</f>
        <v>5.229166666666667</v>
      </c>
      <c r="BN111" s="32"/>
      <c r="BO111" s="9"/>
      <c r="BP111" s="32"/>
      <c r="BQ111" s="9">
        <v>96</v>
      </c>
      <c r="BR111" s="7">
        <v>0.78571341189672239</v>
      </c>
      <c r="BS111" s="9">
        <f t="shared" si="191"/>
        <v>7</v>
      </c>
      <c r="BT111" s="38">
        <f>AVERAGE(BS$6:BS111)</f>
        <v>4.927083333333333</v>
      </c>
      <c r="BU111" s="32"/>
      <c r="BV111" s="9"/>
      <c r="BW111" s="32"/>
      <c r="BX111" s="9">
        <v>96</v>
      </c>
      <c r="BY111" s="7">
        <v>0.48823228673427366</v>
      </c>
      <c r="BZ111" s="9">
        <f t="shared" si="192"/>
        <v>5</v>
      </c>
      <c r="CA111" s="38">
        <f>AVERAGE(BZ$6:BZ111)</f>
        <v>5.010416666666667</v>
      </c>
      <c r="CB111" s="32"/>
      <c r="CC111" s="9"/>
      <c r="CD111" s="32"/>
      <c r="CE111" s="9">
        <v>96</v>
      </c>
      <c r="CF111" s="7">
        <v>0.54864731317502446</v>
      </c>
      <c r="CG111" s="9">
        <f t="shared" si="193"/>
        <v>5</v>
      </c>
      <c r="CH111" s="38">
        <f>AVERAGE(CG$6:CG111)</f>
        <v>5.020833333333333</v>
      </c>
      <c r="CI111" s="32"/>
      <c r="CJ111" s="9"/>
      <c r="CK111" s="32"/>
      <c r="CL111" s="9">
        <v>96</v>
      </c>
      <c r="CM111" s="7">
        <v>0.10432508197845891</v>
      </c>
      <c r="CN111" s="9">
        <f t="shared" si="194"/>
        <v>2</v>
      </c>
      <c r="CO111" s="38">
        <f>AVERAGE(CN$6:CN111)</f>
        <v>4.760416666666667</v>
      </c>
      <c r="CP111" s="32"/>
      <c r="CQ111" s="9"/>
      <c r="CR111" s="32"/>
      <c r="CS111" s="9">
        <v>96</v>
      </c>
      <c r="CT111" s="7">
        <v>0.32737818127498031</v>
      </c>
      <c r="CU111" s="9">
        <f t="shared" si="195"/>
        <v>4</v>
      </c>
      <c r="CV111" s="38">
        <f>AVERAGE(CU$6:CU111)</f>
        <v>4.947916666666667</v>
      </c>
      <c r="CW111" s="32"/>
      <c r="CX111" s="9"/>
      <c r="CY111" s="32"/>
      <c r="CZ111" s="9">
        <v>96</v>
      </c>
      <c r="DA111" s="7">
        <v>0.34958088397979736</v>
      </c>
      <c r="DB111" s="9">
        <f t="shared" si="196"/>
        <v>4</v>
      </c>
      <c r="DC111" s="38">
        <f>AVERAGE(DB$6:DB111)</f>
        <v>5.09375</v>
      </c>
      <c r="DD111" s="32"/>
      <c r="DE111" s="9"/>
      <c r="DF111" s="32"/>
      <c r="DG111" s="9">
        <v>96</v>
      </c>
      <c r="DH111" s="7">
        <v>0.48363827969296835</v>
      </c>
      <c r="DI111" s="9">
        <f t="shared" si="197"/>
        <v>5</v>
      </c>
      <c r="DJ111" s="38">
        <f>AVERAGE(DI$6:DI111)</f>
        <v>5.270833333333333</v>
      </c>
      <c r="DK111" s="32"/>
      <c r="DL111" s="9"/>
      <c r="DM111" s="32"/>
      <c r="DN111" s="9">
        <v>96</v>
      </c>
      <c r="DO111" s="7">
        <v>0.38957717511220835</v>
      </c>
      <c r="DP111" s="9">
        <f t="shared" si="198"/>
        <v>4</v>
      </c>
      <c r="DQ111" s="38">
        <f>AVERAGE(DP$6:DP111)</f>
        <v>5.15625</v>
      </c>
      <c r="DR111" s="32"/>
      <c r="DS111" s="9"/>
      <c r="DT111" s="32"/>
      <c r="DU111" s="9">
        <v>96</v>
      </c>
      <c r="DV111" s="7">
        <v>0.10267048445530236</v>
      </c>
      <c r="DW111" s="9">
        <f t="shared" si="199"/>
        <v>2</v>
      </c>
      <c r="DX111" s="38">
        <f>AVERAGE(DW$6:DW111)</f>
        <v>4.947916666666667</v>
      </c>
      <c r="DY111" s="32"/>
      <c r="DZ111" s="9"/>
      <c r="EA111" s="32"/>
      <c r="EB111" s="9">
        <v>96</v>
      </c>
      <c r="EC111" s="7">
        <v>0.6877423484402243</v>
      </c>
      <c r="ED111" s="9">
        <f t="shared" si="200"/>
        <v>6</v>
      </c>
      <c r="EE111" s="38">
        <f>AVERAGE(ED$6:ED111)</f>
        <v>4.614583333333333</v>
      </c>
      <c r="EF111" s="32"/>
      <c r="EG111" s="9"/>
      <c r="EH111" s="32"/>
      <c r="EI111" s="9">
        <v>96</v>
      </c>
      <c r="EJ111" s="7">
        <v>0.78718311665579677</v>
      </c>
      <c r="EK111" s="9">
        <f t="shared" si="201"/>
        <v>7</v>
      </c>
      <c r="EL111" s="38">
        <f>AVERAGE(EK$6:EK111)</f>
        <v>5.052083333333333</v>
      </c>
      <c r="EM111" s="32"/>
      <c r="EN111" s="9"/>
      <c r="EO111" s="32"/>
      <c r="EP111" s="9">
        <v>96</v>
      </c>
      <c r="EQ111" s="7">
        <v>0.61066141424817033</v>
      </c>
      <c r="ER111" s="9">
        <f t="shared" si="202"/>
        <v>5</v>
      </c>
      <c r="ES111" s="38">
        <f>AVERAGE(ER$6:ER111)</f>
        <v>4.947916666666667</v>
      </c>
      <c r="ET111" s="32"/>
    </row>
    <row r="112" spans="5:150" x14ac:dyDescent="0.25">
      <c r="E112" s="7"/>
      <c r="L112" s="32">
        <v>13</v>
      </c>
      <c r="M112" s="9">
        <v>97</v>
      </c>
      <c r="N112" s="7">
        <v>0.46365712012629956</v>
      </c>
      <c r="O112" s="9">
        <f t="shared" si="203"/>
        <v>5</v>
      </c>
      <c r="P112" s="38">
        <f>AVERAGE(O$6:O112)</f>
        <v>5.072164948453608</v>
      </c>
      <c r="Q112" s="32">
        <f t="shared" ref="Q112" si="264">SUM(O112:O119)</f>
        <v>38</v>
      </c>
      <c r="R112" s="9"/>
      <c r="S112" s="32">
        <v>13</v>
      </c>
      <c r="T112" s="9">
        <v>97</v>
      </c>
      <c r="U112" s="7">
        <v>0.7085642137681134</v>
      </c>
      <c r="V112" s="9">
        <f t="shared" si="184"/>
        <v>6</v>
      </c>
      <c r="W112" s="38">
        <f>AVERAGE(V$6:V112)</f>
        <v>4.7835051546391751</v>
      </c>
      <c r="X112" s="32">
        <f t="shared" ref="X112" si="265">SUM(V112:V119)</f>
        <v>52</v>
      </c>
      <c r="Y112" s="9"/>
      <c r="Z112" s="32">
        <v>13</v>
      </c>
      <c r="AA112" s="9">
        <v>97</v>
      </c>
      <c r="AB112" s="7">
        <v>0.52567900670692325</v>
      </c>
      <c r="AC112" s="9">
        <f t="shared" si="185"/>
        <v>5</v>
      </c>
      <c r="AD112" s="38">
        <f>AVERAGE(AC$6:AC112)</f>
        <v>5.1134020618556697</v>
      </c>
      <c r="AE112" s="32">
        <f t="shared" ref="AE112" si="266">SUM(AC112:AC119)</f>
        <v>34</v>
      </c>
      <c r="AF112" s="9"/>
      <c r="AG112" s="32">
        <v>13</v>
      </c>
      <c r="AH112" s="9">
        <v>97</v>
      </c>
      <c r="AI112" s="7">
        <v>0.34967981622321531</v>
      </c>
      <c r="AJ112" s="9">
        <f t="shared" si="186"/>
        <v>4</v>
      </c>
      <c r="AK112" s="38">
        <f>AVERAGE(AJ$6:AJ112)</f>
        <v>4.8865979381443303</v>
      </c>
      <c r="AL112" s="32">
        <f t="shared" ref="AL112" si="267">SUM(AJ112:AJ119)</f>
        <v>43</v>
      </c>
      <c r="AM112" s="9"/>
      <c r="AN112" s="32">
        <v>13</v>
      </c>
      <c r="AO112" s="9">
        <v>97</v>
      </c>
      <c r="AP112" s="7">
        <v>0.80135835672263056</v>
      </c>
      <c r="AQ112" s="9">
        <f t="shared" si="187"/>
        <v>7</v>
      </c>
      <c r="AR112" s="38">
        <f>AVERAGE(AQ$6:AQ112)</f>
        <v>5.1752577319587632</v>
      </c>
      <c r="AS112" s="32">
        <f t="shared" ref="AS112" si="268">SUM(AQ112:AQ119)</f>
        <v>40</v>
      </c>
      <c r="AT112" s="9"/>
      <c r="AU112" s="32">
        <v>13</v>
      </c>
      <c r="AV112" s="9">
        <v>97</v>
      </c>
      <c r="AW112" s="7">
        <v>0.25298915983876213</v>
      </c>
      <c r="AX112" s="9">
        <f t="shared" si="188"/>
        <v>3</v>
      </c>
      <c r="AY112" s="38">
        <f>AVERAGE(AX$6:AX112)</f>
        <v>4.7938144329896906</v>
      </c>
      <c r="AZ112" s="32">
        <f t="shared" ref="AZ112" si="269">SUM(AX112:AX119)</f>
        <v>34</v>
      </c>
      <c r="BA112" s="9"/>
      <c r="BB112" s="32">
        <v>13</v>
      </c>
      <c r="BC112" s="9">
        <v>97</v>
      </c>
      <c r="BD112" s="7">
        <v>0.66496569590526633</v>
      </c>
      <c r="BE112" s="9">
        <f t="shared" si="189"/>
        <v>6</v>
      </c>
      <c r="BF112" s="38">
        <f>AVERAGE(BE$6:BE112)</f>
        <v>4.8453608247422677</v>
      </c>
      <c r="BG112" s="32">
        <f t="shared" ref="BG112" si="270">SUM(BE112:BE119)</f>
        <v>32</v>
      </c>
      <c r="BH112" s="9"/>
      <c r="BI112" s="32">
        <v>13</v>
      </c>
      <c r="BJ112" s="9">
        <v>97</v>
      </c>
      <c r="BK112" s="7">
        <v>0.7597080955747515</v>
      </c>
      <c r="BL112" s="9">
        <f t="shared" si="190"/>
        <v>6</v>
      </c>
      <c r="BM112" s="38">
        <f>AVERAGE(BL$6:BL112)</f>
        <v>5.2371134020618557</v>
      </c>
      <c r="BN112" s="32">
        <f t="shared" ref="BN112" si="271">SUM(BL112:BL119)</f>
        <v>40</v>
      </c>
      <c r="BO112" s="9"/>
      <c r="BP112" s="32">
        <v>13</v>
      </c>
      <c r="BQ112" s="9">
        <v>97</v>
      </c>
      <c r="BR112" s="7">
        <v>0.64240712684113532</v>
      </c>
      <c r="BS112" s="9">
        <f t="shared" si="191"/>
        <v>6</v>
      </c>
      <c r="BT112" s="38">
        <f>AVERAGE(BS$6:BS112)</f>
        <v>4.9381443298969074</v>
      </c>
      <c r="BU112" s="32">
        <f t="shared" ref="BU112" si="272">SUM(BS112:BS119)</f>
        <v>36</v>
      </c>
      <c r="BV112" s="9"/>
      <c r="BW112" s="32">
        <v>13</v>
      </c>
      <c r="BX112" s="9">
        <v>97</v>
      </c>
      <c r="BY112" s="7">
        <v>0.43962766818003729</v>
      </c>
      <c r="BZ112" s="9">
        <f t="shared" si="192"/>
        <v>4</v>
      </c>
      <c r="CA112" s="38">
        <f>AVERAGE(BZ$6:BZ112)</f>
        <v>5</v>
      </c>
      <c r="CB112" s="32">
        <f t="shared" ref="CB112" si="273">SUM(BZ112:BZ119)</f>
        <v>31</v>
      </c>
      <c r="CC112" s="9"/>
      <c r="CD112" s="32">
        <v>13</v>
      </c>
      <c r="CE112" s="9">
        <v>97</v>
      </c>
      <c r="CF112" s="7">
        <v>0.55336628516670316</v>
      </c>
      <c r="CG112" s="9">
        <f t="shared" si="193"/>
        <v>5</v>
      </c>
      <c r="CH112" s="38">
        <f>AVERAGE(CG$6:CG112)</f>
        <v>5.0206185567010309</v>
      </c>
      <c r="CI112" s="32">
        <f t="shared" ref="CI112" si="274">SUM(CG112:CG119)</f>
        <v>42</v>
      </c>
      <c r="CJ112" s="9"/>
      <c r="CK112" s="32">
        <v>13</v>
      </c>
      <c r="CL112" s="9">
        <v>97</v>
      </c>
      <c r="CM112" s="7">
        <v>0.72741721893544309</v>
      </c>
      <c r="CN112" s="9">
        <f t="shared" si="194"/>
        <v>6</v>
      </c>
      <c r="CO112" s="38">
        <f>AVERAGE(CN$6:CN112)</f>
        <v>4.7731958762886597</v>
      </c>
      <c r="CP112" s="32">
        <f t="shared" ref="CP112" si="275">SUM(CN112:CN119)</f>
        <v>30</v>
      </c>
      <c r="CQ112" s="9"/>
      <c r="CR112" s="32">
        <v>13</v>
      </c>
      <c r="CS112" s="9">
        <v>97</v>
      </c>
      <c r="CT112" s="7">
        <v>0.59976335664396174</v>
      </c>
      <c r="CU112" s="9">
        <f t="shared" si="195"/>
        <v>5</v>
      </c>
      <c r="CV112" s="38">
        <f>AVERAGE(CU$6:CU112)</f>
        <v>4.9484536082474229</v>
      </c>
      <c r="CW112" s="32">
        <f t="shared" ref="CW112" si="276">SUM(CU112:CU119)</f>
        <v>39</v>
      </c>
      <c r="CX112" s="9"/>
      <c r="CY112" s="32">
        <v>13</v>
      </c>
      <c r="CZ112" s="9">
        <v>97</v>
      </c>
      <c r="DA112" s="7">
        <v>3.415524962474592E-2</v>
      </c>
      <c r="DB112" s="9">
        <f t="shared" si="196"/>
        <v>1</v>
      </c>
      <c r="DC112" s="38">
        <f>AVERAGE(DB$6:DB112)</f>
        <v>5.0515463917525771</v>
      </c>
      <c r="DD112" s="32">
        <f t="shared" ref="DD112" si="277">SUM(DB112:DB119)</f>
        <v>40</v>
      </c>
      <c r="DE112" s="9"/>
      <c r="DF112" s="32">
        <v>13</v>
      </c>
      <c r="DG112" s="9">
        <v>97</v>
      </c>
      <c r="DH112" s="7">
        <v>7.3714041907805949E-2</v>
      </c>
      <c r="DI112" s="9">
        <f t="shared" si="197"/>
        <v>2</v>
      </c>
      <c r="DJ112" s="38">
        <f>AVERAGE(DI$6:DI112)</f>
        <v>5.2371134020618557</v>
      </c>
      <c r="DK112" s="32">
        <f t="shared" ref="DK112" si="278">SUM(DI112:DI119)</f>
        <v>40</v>
      </c>
      <c r="DL112" s="9"/>
      <c r="DM112" s="32">
        <v>13</v>
      </c>
      <c r="DN112" s="9">
        <v>97</v>
      </c>
      <c r="DO112" s="7">
        <v>0.63224518281640485</v>
      </c>
      <c r="DP112" s="9">
        <f t="shared" si="198"/>
        <v>6</v>
      </c>
      <c r="DQ112" s="38">
        <f>AVERAGE(DP$6:DP112)</f>
        <v>5.1649484536082477</v>
      </c>
      <c r="DR112" s="32">
        <f t="shared" ref="DR112" si="279">SUM(DP112:DP119)</f>
        <v>45</v>
      </c>
      <c r="DS112" s="9"/>
      <c r="DT112" s="32">
        <v>13</v>
      </c>
      <c r="DU112" s="9">
        <v>97</v>
      </c>
      <c r="DV112" s="7">
        <v>0.87529949450981803</v>
      </c>
      <c r="DW112" s="9">
        <f t="shared" si="199"/>
        <v>8</v>
      </c>
      <c r="DX112" s="38">
        <f>AVERAGE(DW$6:DW112)</f>
        <v>4.9793814432989691</v>
      </c>
      <c r="DY112" s="32">
        <f t="shared" ref="DY112" si="280">SUM(DW112:DW119)</f>
        <v>47</v>
      </c>
      <c r="DZ112" s="9"/>
      <c r="EA112" s="32">
        <v>13</v>
      </c>
      <c r="EB112" s="9">
        <v>97</v>
      </c>
      <c r="EC112" s="7">
        <v>0.1873094467446208</v>
      </c>
      <c r="ED112" s="9">
        <f t="shared" si="200"/>
        <v>3</v>
      </c>
      <c r="EE112" s="38">
        <f>AVERAGE(ED$6:ED112)</f>
        <v>4.5979381443298966</v>
      </c>
      <c r="EF112" s="32">
        <f t="shared" ref="EF112" si="281">SUM(ED112:ED119)</f>
        <v>32</v>
      </c>
      <c r="EG112" s="9"/>
      <c r="EH112" s="32">
        <v>13</v>
      </c>
      <c r="EI112" s="9">
        <v>97</v>
      </c>
      <c r="EJ112" s="7">
        <v>0.39930507776443847</v>
      </c>
      <c r="EK112" s="9">
        <f t="shared" si="201"/>
        <v>4</v>
      </c>
      <c r="EL112" s="38">
        <f>AVERAGE(EK$6:EK112)</f>
        <v>5.0412371134020617</v>
      </c>
      <c r="EM112" s="32">
        <f t="shared" ref="EM112" si="282">SUM(EK112:EK119)</f>
        <v>46</v>
      </c>
      <c r="EN112" s="9"/>
      <c r="EO112" s="32">
        <v>13</v>
      </c>
      <c r="EP112" s="9">
        <v>97</v>
      </c>
      <c r="EQ112" s="7">
        <v>0.49062833783682436</v>
      </c>
      <c r="ER112" s="9">
        <f t="shared" si="202"/>
        <v>5</v>
      </c>
      <c r="ES112" s="38">
        <f>AVERAGE(ER$6:ER112)</f>
        <v>4.9484536082474229</v>
      </c>
      <c r="ET112" s="32">
        <f t="shared" ref="ET112" si="283">SUM(ER112:ER119)</f>
        <v>55</v>
      </c>
    </row>
    <row r="113" spans="5:150" x14ac:dyDescent="0.25">
      <c r="E113" s="7"/>
      <c r="L113" s="32"/>
      <c r="M113" s="9">
        <v>98</v>
      </c>
      <c r="N113" s="7">
        <v>0.78341686507337727</v>
      </c>
      <c r="O113" s="9">
        <f t="shared" si="203"/>
        <v>7</v>
      </c>
      <c r="P113" s="38">
        <f>AVERAGE(O$6:O113)</f>
        <v>5.091836734693878</v>
      </c>
      <c r="Q113" s="32"/>
      <c r="R113" s="9"/>
      <c r="S113" s="32"/>
      <c r="T113" s="9">
        <v>98</v>
      </c>
      <c r="U113" s="7">
        <v>0.91057009060750715</v>
      </c>
      <c r="V113" s="9">
        <f t="shared" si="184"/>
        <v>8</v>
      </c>
      <c r="W113" s="38">
        <f>AVERAGE(V$6:V113)</f>
        <v>4.8163265306122449</v>
      </c>
      <c r="X113" s="32"/>
      <c r="Y113" s="9"/>
      <c r="Z113" s="32"/>
      <c r="AA113" s="9">
        <v>98</v>
      </c>
      <c r="AB113" s="7">
        <v>0.72468845409457572</v>
      </c>
      <c r="AC113" s="9">
        <f t="shared" si="185"/>
        <v>6</v>
      </c>
      <c r="AD113" s="38">
        <f>AVERAGE(AC$6:AC113)</f>
        <v>5.1224489795918364</v>
      </c>
      <c r="AE113" s="32"/>
      <c r="AF113" s="9"/>
      <c r="AG113" s="32"/>
      <c r="AH113" s="9">
        <v>98</v>
      </c>
      <c r="AI113" s="7">
        <v>8.510535498498939E-2</v>
      </c>
      <c r="AJ113" s="9">
        <f t="shared" si="186"/>
        <v>2</v>
      </c>
      <c r="AK113" s="38">
        <f>AVERAGE(AJ$6:AJ113)</f>
        <v>4.8571428571428568</v>
      </c>
      <c r="AL113" s="32"/>
      <c r="AM113" s="9"/>
      <c r="AN113" s="32"/>
      <c r="AO113" s="9">
        <v>98</v>
      </c>
      <c r="AP113" s="7">
        <v>0.69955371218384244</v>
      </c>
      <c r="AQ113" s="9">
        <f t="shared" si="187"/>
        <v>6</v>
      </c>
      <c r="AR113" s="38">
        <f>AVERAGE(AQ$6:AQ113)</f>
        <v>5.1836734693877551</v>
      </c>
      <c r="AS113" s="32"/>
      <c r="AT113" s="9"/>
      <c r="AU113" s="32"/>
      <c r="AV113" s="9">
        <v>98</v>
      </c>
      <c r="AW113" s="7">
        <v>0.289417316991603</v>
      </c>
      <c r="AX113" s="9">
        <f t="shared" si="188"/>
        <v>4</v>
      </c>
      <c r="AY113" s="38">
        <f>AVERAGE(AX$6:AX113)</f>
        <v>4.7857142857142856</v>
      </c>
      <c r="AZ113" s="32"/>
      <c r="BA113" s="9"/>
      <c r="BB113" s="32"/>
      <c r="BC113" s="9">
        <v>98</v>
      </c>
      <c r="BD113" s="7">
        <v>0.4573333912412636</v>
      </c>
      <c r="BE113" s="9">
        <f t="shared" si="189"/>
        <v>5</v>
      </c>
      <c r="BF113" s="38">
        <f>AVERAGE(BE$6:BE113)</f>
        <v>4.8469387755102042</v>
      </c>
      <c r="BG113" s="32"/>
      <c r="BH113" s="9"/>
      <c r="BI113" s="32"/>
      <c r="BJ113" s="9">
        <v>98</v>
      </c>
      <c r="BK113" s="7">
        <v>0.24966922102612443</v>
      </c>
      <c r="BL113" s="9">
        <f t="shared" si="190"/>
        <v>3</v>
      </c>
      <c r="BM113" s="38">
        <f>AVERAGE(BL$6:BL113)</f>
        <v>5.2142857142857144</v>
      </c>
      <c r="BN113" s="32"/>
      <c r="BO113" s="9"/>
      <c r="BP113" s="32"/>
      <c r="BQ113" s="9">
        <v>98</v>
      </c>
      <c r="BR113" s="7">
        <v>0.8396703232137952</v>
      </c>
      <c r="BS113" s="9">
        <f t="shared" si="191"/>
        <v>7</v>
      </c>
      <c r="BT113" s="38">
        <f>AVERAGE(BS$6:BS113)</f>
        <v>4.9591836734693882</v>
      </c>
      <c r="BU113" s="32"/>
      <c r="BV113" s="9"/>
      <c r="BW113" s="32"/>
      <c r="BX113" s="9">
        <v>98</v>
      </c>
      <c r="BY113" s="7">
        <v>0.40824911274830811</v>
      </c>
      <c r="BZ113" s="9">
        <f t="shared" si="192"/>
        <v>4</v>
      </c>
      <c r="CA113" s="38">
        <f>AVERAGE(BZ$6:BZ113)</f>
        <v>4.9897959183673466</v>
      </c>
      <c r="CB113" s="32"/>
      <c r="CC113" s="9"/>
      <c r="CD113" s="32"/>
      <c r="CE113" s="9">
        <v>98</v>
      </c>
      <c r="CF113" s="7">
        <v>0.98363686088123359</v>
      </c>
      <c r="CG113" s="9">
        <f t="shared" si="193"/>
        <v>10</v>
      </c>
      <c r="CH113" s="38">
        <f>AVERAGE(CG$6:CG113)</f>
        <v>5.0714285714285712</v>
      </c>
      <c r="CI113" s="32"/>
      <c r="CJ113" s="9"/>
      <c r="CK113" s="32"/>
      <c r="CL113" s="9">
        <v>98</v>
      </c>
      <c r="CM113" s="7">
        <v>0.61986775178229436</v>
      </c>
      <c r="CN113" s="9">
        <f t="shared" si="194"/>
        <v>6</v>
      </c>
      <c r="CO113" s="38">
        <f>AVERAGE(CN$6:CN113)</f>
        <v>4.7857142857142856</v>
      </c>
      <c r="CP113" s="32"/>
      <c r="CQ113" s="9"/>
      <c r="CR113" s="32"/>
      <c r="CS113" s="9">
        <v>98</v>
      </c>
      <c r="CT113" s="7">
        <v>0.87812867166940123</v>
      </c>
      <c r="CU113" s="9">
        <f t="shared" si="195"/>
        <v>8</v>
      </c>
      <c r="CV113" s="38">
        <f>AVERAGE(CU$6:CU113)</f>
        <v>4.9795918367346941</v>
      </c>
      <c r="CW113" s="32"/>
      <c r="CX113" s="9"/>
      <c r="CY113" s="32"/>
      <c r="CZ113" s="9">
        <v>98</v>
      </c>
      <c r="DA113" s="7">
        <v>0.58995355677325279</v>
      </c>
      <c r="DB113" s="9">
        <f t="shared" si="196"/>
        <v>5</v>
      </c>
      <c r="DC113" s="38">
        <f>AVERAGE(DB$6:DB113)</f>
        <v>5.0510204081632653</v>
      </c>
      <c r="DD113" s="32"/>
      <c r="DE113" s="9"/>
      <c r="DF113" s="32"/>
      <c r="DG113" s="9">
        <v>98</v>
      </c>
      <c r="DH113" s="7">
        <v>0.9627315825491678</v>
      </c>
      <c r="DI113" s="9">
        <f t="shared" si="197"/>
        <v>9</v>
      </c>
      <c r="DJ113" s="38">
        <f>AVERAGE(DI$6:DI113)</f>
        <v>5.2755102040816331</v>
      </c>
      <c r="DK113" s="32"/>
      <c r="DL113" s="9"/>
      <c r="DM113" s="32"/>
      <c r="DN113" s="9">
        <v>98</v>
      </c>
      <c r="DO113" s="7">
        <v>0.60626915047760122</v>
      </c>
      <c r="DP113" s="9">
        <f t="shared" si="198"/>
        <v>5</v>
      </c>
      <c r="DQ113" s="38">
        <f>AVERAGE(DP$6:DP113)</f>
        <v>5.1632653061224492</v>
      </c>
      <c r="DR113" s="32"/>
      <c r="DS113" s="9"/>
      <c r="DT113" s="32"/>
      <c r="DU113" s="9">
        <v>98</v>
      </c>
      <c r="DV113" s="7">
        <v>0.77923967258539051</v>
      </c>
      <c r="DW113" s="9">
        <f t="shared" si="199"/>
        <v>7</v>
      </c>
      <c r="DX113" s="38">
        <f>AVERAGE(DW$6:DW113)</f>
        <v>5</v>
      </c>
      <c r="DY113" s="32"/>
      <c r="DZ113" s="9"/>
      <c r="EA113" s="32"/>
      <c r="EB113" s="9">
        <v>98</v>
      </c>
      <c r="EC113" s="7">
        <v>0.46436507350881584</v>
      </c>
      <c r="ED113" s="9">
        <f t="shared" si="200"/>
        <v>5</v>
      </c>
      <c r="EE113" s="38">
        <f>AVERAGE(ED$6:ED113)</f>
        <v>4.6020408163265305</v>
      </c>
      <c r="EF113" s="32"/>
      <c r="EG113" s="9"/>
      <c r="EH113" s="32"/>
      <c r="EI113" s="9">
        <v>98</v>
      </c>
      <c r="EJ113" s="7">
        <v>0.64211504871491343</v>
      </c>
      <c r="EK113" s="9">
        <f t="shared" si="201"/>
        <v>6</v>
      </c>
      <c r="EL113" s="38">
        <f>AVERAGE(EK$6:EK113)</f>
        <v>5.0510204081632653</v>
      </c>
      <c r="EM113" s="32"/>
      <c r="EN113" s="9"/>
      <c r="EO113" s="32"/>
      <c r="EP113" s="9">
        <v>98</v>
      </c>
      <c r="EQ113" s="7">
        <v>0.67359398599364795</v>
      </c>
      <c r="ER113" s="9">
        <f t="shared" si="202"/>
        <v>6</v>
      </c>
      <c r="ES113" s="38">
        <f>AVERAGE(ER$6:ER113)</f>
        <v>4.9591836734693882</v>
      </c>
      <c r="ET113" s="32"/>
    </row>
    <row r="114" spans="5:150" x14ac:dyDescent="0.25">
      <c r="E114" s="7"/>
      <c r="L114" s="32"/>
      <c r="M114" s="9">
        <v>99</v>
      </c>
      <c r="N114" s="7">
        <v>0.45968551281839609</v>
      </c>
      <c r="O114" s="9">
        <f t="shared" si="203"/>
        <v>5</v>
      </c>
      <c r="P114" s="38">
        <f>AVERAGE(O$6:O114)</f>
        <v>5.0909090909090908</v>
      </c>
      <c r="Q114" s="32"/>
      <c r="R114" s="9"/>
      <c r="S114" s="32"/>
      <c r="T114" s="9">
        <v>99</v>
      </c>
      <c r="U114" s="7">
        <v>0.94359666289528832</v>
      </c>
      <c r="V114" s="9">
        <f t="shared" si="184"/>
        <v>9</v>
      </c>
      <c r="W114" s="38">
        <f>AVERAGE(V$6:V114)</f>
        <v>4.858585858585859</v>
      </c>
      <c r="X114" s="32"/>
      <c r="Y114" s="9"/>
      <c r="Z114" s="32"/>
      <c r="AA114" s="9">
        <v>99</v>
      </c>
      <c r="AB114" s="7">
        <v>0.21455385873559862</v>
      </c>
      <c r="AC114" s="9">
        <f t="shared" si="185"/>
        <v>3</v>
      </c>
      <c r="AD114" s="38">
        <f>AVERAGE(AC$6:AC114)</f>
        <v>5.1010101010101012</v>
      </c>
      <c r="AE114" s="32"/>
      <c r="AF114" s="9"/>
      <c r="AG114" s="32"/>
      <c r="AH114" s="9">
        <v>99</v>
      </c>
      <c r="AI114" s="7">
        <v>0.82925781729863957</v>
      </c>
      <c r="AJ114" s="9">
        <f t="shared" si="186"/>
        <v>7</v>
      </c>
      <c r="AK114" s="38">
        <f>AVERAGE(AJ$6:AJ114)</f>
        <v>4.8787878787878789</v>
      </c>
      <c r="AL114" s="32"/>
      <c r="AM114" s="9"/>
      <c r="AN114" s="32"/>
      <c r="AO114" s="9">
        <v>99</v>
      </c>
      <c r="AP114" s="7">
        <v>0.2701617747079581</v>
      </c>
      <c r="AQ114" s="9">
        <f t="shared" si="187"/>
        <v>4</v>
      </c>
      <c r="AR114" s="38">
        <f>AVERAGE(AQ$6:AQ114)</f>
        <v>5.1717171717171722</v>
      </c>
      <c r="AS114" s="32"/>
      <c r="AT114" s="9"/>
      <c r="AU114" s="32"/>
      <c r="AV114" s="9">
        <v>99</v>
      </c>
      <c r="AW114" s="7">
        <v>4.9918250704649836E-2</v>
      </c>
      <c r="AX114" s="9">
        <f t="shared" si="188"/>
        <v>2</v>
      </c>
      <c r="AY114" s="38">
        <f>AVERAGE(AX$6:AX114)</f>
        <v>4.7575757575757578</v>
      </c>
      <c r="AZ114" s="32"/>
      <c r="BA114" s="9"/>
      <c r="BB114" s="32"/>
      <c r="BC114" s="9">
        <v>99</v>
      </c>
      <c r="BD114" s="7">
        <v>0.52669648927985691</v>
      </c>
      <c r="BE114" s="9">
        <f t="shared" si="189"/>
        <v>5</v>
      </c>
      <c r="BF114" s="38">
        <f>AVERAGE(BE$6:BE114)</f>
        <v>4.8484848484848486</v>
      </c>
      <c r="BG114" s="32"/>
      <c r="BH114" s="9"/>
      <c r="BI114" s="32"/>
      <c r="BJ114" s="9">
        <v>99</v>
      </c>
      <c r="BK114" s="7">
        <v>0.57964882848318666</v>
      </c>
      <c r="BL114" s="9">
        <f t="shared" si="190"/>
        <v>5</v>
      </c>
      <c r="BM114" s="38">
        <f>AVERAGE(BL$6:BL114)</f>
        <v>5.2121212121212119</v>
      </c>
      <c r="BN114" s="32"/>
      <c r="BO114" s="9"/>
      <c r="BP114" s="32"/>
      <c r="BQ114" s="9">
        <v>99</v>
      </c>
      <c r="BR114" s="7">
        <v>0.43021645513363183</v>
      </c>
      <c r="BS114" s="9">
        <f t="shared" si="191"/>
        <v>4</v>
      </c>
      <c r="BT114" s="38">
        <f>AVERAGE(BS$6:BS114)</f>
        <v>4.9494949494949498</v>
      </c>
      <c r="BU114" s="32"/>
      <c r="BV114" s="9"/>
      <c r="BW114" s="32"/>
      <c r="BX114" s="9">
        <v>99</v>
      </c>
      <c r="BY114" s="7">
        <v>0.24829306540777907</v>
      </c>
      <c r="BZ114" s="9">
        <f t="shared" si="192"/>
        <v>3</v>
      </c>
      <c r="CA114" s="38">
        <f>AVERAGE(BZ$6:BZ114)</f>
        <v>4.9696969696969697</v>
      </c>
      <c r="CB114" s="32"/>
      <c r="CC114" s="9"/>
      <c r="CD114" s="32"/>
      <c r="CE114" s="9">
        <v>99</v>
      </c>
      <c r="CF114" s="7">
        <v>0.57298335386440158</v>
      </c>
      <c r="CG114" s="9">
        <f t="shared" si="193"/>
        <v>5</v>
      </c>
      <c r="CH114" s="38">
        <f>AVERAGE(CG$6:CG114)</f>
        <v>5.0707070707070709</v>
      </c>
      <c r="CI114" s="32"/>
      <c r="CJ114" s="9"/>
      <c r="CK114" s="32"/>
      <c r="CL114" s="9">
        <v>99</v>
      </c>
      <c r="CM114" s="7">
        <v>0.23189216791070066</v>
      </c>
      <c r="CN114" s="9">
        <f t="shared" si="194"/>
        <v>3</v>
      </c>
      <c r="CO114" s="38">
        <f>AVERAGE(CN$6:CN114)</f>
        <v>4.7676767676767673</v>
      </c>
      <c r="CP114" s="32"/>
      <c r="CQ114" s="9"/>
      <c r="CR114" s="32"/>
      <c r="CS114" s="9">
        <v>99</v>
      </c>
      <c r="CT114" s="7">
        <v>0.23626590977073647</v>
      </c>
      <c r="CU114" s="9">
        <f t="shared" si="195"/>
        <v>3</v>
      </c>
      <c r="CV114" s="38">
        <f>AVERAGE(CU$6:CU114)</f>
        <v>4.9595959595959593</v>
      </c>
      <c r="CW114" s="32"/>
      <c r="CX114" s="9"/>
      <c r="CY114" s="32"/>
      <c r="CZ114" s="9">
        <v>99</v>
      </c>
      <c r="DA114" s="7">
        <v>0.82608173825428821</v>
      </c>
      <c r="DB114" s="9">
        <f t="shared" si="196"/>
        <v>7</v>
      </c>
      <c r="DC114" s="38">
        <f>AVERAGE(DB$6:DB114)</f>
        <v>5.0707070707070709</v>
      </c>
      <c r="DD114" s="32"/>
      <c r="DE114" s="9"/>
      <c r="DF114" s="32"/>
      <c r="DG114" s="9">
        <v>99</v>
      </c>
      <c r="DH114" s="7">
        <v>0.80676501285051927</v>
      </c>
      <c r="DI114" s="9">
        <f t="shared" si="197"/>
        <v>7</v>
      </c>
      <c r="DJ114" s="38">
        <f>AVERAGE(DI$6:DI114)</f>
        <v>5.2929292929292933</v>
      </c>
      <c r="DK114" s="32"/>
      <c r="DL114" s="9"/>
      <c r="DM114" s="32"/>
      <c r="DN114" s="9">
        <v>99</v>
      </c>
      <c r="DO114" s="7">
        <v>0.22861249599372968</v>
      </c>
      <c r="DP114" s="9">
        <f t="shared" si="198"/>
        <v>3</v>
      </c>
      <c r="DQ114" s="38">
        <f>AVERAGE(DP$6:DP114)</f>
        <v>5.141414141414141</v>
      </c>
      <c r="DR114" s="32"/>
      <c r="DS114" s="9"/>
      <c r="DT114" s="32"/>
      <c r="DU114" s="9">
        <v>99</v>
      </c>
      <c r="DV114" s="7">
        <v>0.30843138150521554</v>
      </c>
      <c r="DW114" s="9">
        <f t="shared" si="199"/>
        <v>4</v>
      </c>
      <c r="DX114" s="38">
        <f>AVERAGE(DW$6:DW114)</f>
        <v>4.9898989898989896</v>
      </c>
      <c r="DY114" s="32"/>
      <c r="DZ114" s="9"/>
      <c r="EA114" s="32"/>
      <c r="EB114" s="9">
        <v>99</v>
      </c>
      <c r="EC114" s="7">
        <v>0.14801285706926137</v>
      </c>
      <c r="ED114" s="9">
        <f t="shared" si="200"/>
        <v>3</v>
      </c>
      <c r="EE114" s="38">
        <f>AVERAGE(ED$6:ED114)</f>
        <v>4.5858585858585856</v>
      </c>
      <c r="EF114" s="32"/>
      <c r="EG114" s="9"/>
      <c r="EH114" s="32"/>
      <c r="EI114" s="9">
        <v>99</v>
      </c>
      <c r="EJ114" s="7">
        <v>0.68925008820951916</v>
      </c>
      <c r="EK114" s="9">
        <f t="shared" si="201"/>
        <v>6</v>
      </c>
      <c r="EL114" s="38">
        <f>AVERAGE(EK$6:EK114)</f>
        <v>5.0606060606060606</v>
      </c>
      <c r="EM114" s="32"/>
      <c r="EN114" s="9"/>
      <c r="EO114" s="32"/>
      <c r="EP114" s="9">
        <v>99</v>
      </c>
      <c r="EQ114" s="7">
        <v>0.900902786757797</v>
      </c>
      <c r="ER114" s="9">
        <f t="shared" si="202"/>
        <v>8</v>
      </c>
      <c r="ES114" s="38">
        <f>AVERAGE(ER$6:ER114)</f>
        <v>4.9898989898989896</v>
      </c>
      <c r="ET114" s="32"/>
    </row>
    <row r="115" spans="5:150" x14ac:dyDescent="0.25">
      <c r="E115" s="7"/>
      <c r="L115" s="32"/>
      <c r="M115" s="9">
        <v>100</v>
      </c>
      <c r="N115" s="7">
        <v>0.73803910150309093</v>
      </c>
      <c r="O115" s="9">
        <f t="shared" si="203"/>
        <v>6</v>
      </c>
      <c r="P115" s="38">
        <f>AVERAGE(O$6:O115)</f>
        <v>5.0999999999999996</v>
      </c>
      <c r="Q115" s="32"/>
      <c r="R115" s="9"/>
      <c r="S115" s="32"/>
      <c r="T115" s="9">
        <v>100</v>
      </c>
      <c r="U115" s="7">
        <v>0.9522813911025878</v>
      </c>
      <c r="V115" s="9">
        <f t="shared" si="184"/>
        <v>9</v>
      </c>
      <c r="W115" s="38">
        <f>AVERAGE(V$6:V115)</f>
        <v>4.9000000000000004</v>
      </c>
      <c r="X115" s="32"/>
      <c r="Y115" s="9"/>
      <c r="Z115" s="32"/>
      <c r="AA115" s="9">
        <v>100</v>
      </c>
      <c r="AB115" s="7">
        <v>0.49523724886239506</v>
      </c>
      <c r="AC115" s="9">
        <f t="shared" si="185"/>
        <v>5</v>
      </c>
      <c r="AD115" s="38">
        <f>AVERAGE(AC$6:AC115)</f>
        <v>5.0999999999999996</v>
      </c>
      <c r="AE115" s="32"/>
      <c r="AF115" s="9"/>
      <c r="AG115" s="32"/>
      <c r="AH115" s="9">
        <v>100</v>
      </c>
      <c r="AI115" s="7">
        <v>6.7775908828480169E-2</v>
      </c>
      <c r="AJ115" s="9">
        <f t="shared" si="186"/>
        <v>2</v>
      </c>
      <c r="AK115" s="38">
        <f>AVERAGE(AJ$6:AJ115)</f>
        <v>4.8499999999999996</v>
      </c>
      <c r="AL115" s="32"/>
      <c r="AM115" s="9"/>
      <c r="AN115" s="32"/>
      <c r="AO115" s="9">
        <v>100</v>
      </c>
      <c r="AP115" s="7">
        <v>0.13331397462752648</v>
      </c>
      <c r="AQ115" s="9">
        <f t="shared" si="187"/>
        <v>3</v>
      </c>
      <c r="AR115" s="38">
        <f>AVERAGE(AQ$6:AQ115)</f>
        <v>5.15</v>
      </c>
      <c r="AS115" s="32"/>
      <c r="AT115" s="9"/>
      <c r="AU115" s="32"/>
      <c r="AV115" s="9">
        <v>100</v>
      </c>
      <c r="AW115" s="7">
        <v>0.70789911292376928</v>
      </c>
      <c r="AX115" s="9">
        <f t="shared" si="188"/>
        <v>6</v>
      </c>
      <c r="AY115" s="38">
        <f>AVERAGE(AX$6:AX115)</f>
        <v>4.7699999999999996</v>
      </c>
      <c r="AZ115" s="32"/>
      <c r="BA115" s="9"/>
      <c r="BB115" s="32"/>
      <c r="BC115" s="9">
        <v>100</v>
      </c>
      <c r="BD115" s="7">
        <v>0.24869197915541008</v>
      </c>
      <c r="BE115" s="9">
        <f t="shared" si="189"/>
        <v>3</v>
      </c>
      <c r="BF115" s="38">
        <f>AVERAGE(BE$6:BE115)</f>
        <v>4.83</v>
      </c>
      <c r="BG115" s="32"/>
      <c r="BH115" s="9"/>
      <c r="BI115" s="32"/>
      <c r="BJ115" s="9">
        <v>100</v>
      </c>
      <c r="BK115" s="7">
        <v>0.51914666887023486</v>
      </c>
      <c r="BL115" s="9">
        <f t="shared" si="190"/>
        <v>5</v>
      </c>
      <c r="BM115" s="38">
        <f>AVERAGE(BL$6:BL115)</f>
        <v>5.21</v>
      </c>
      <c r="BN115" s="32"/>
      <c r="BO115" s="9"/>
      <c r="BP115" s="32"/>
      <c r="BQ115" s="9">
        <v>100</v>
      </c>
      <c r="BR115" s="7">
        <v>0.56147439384949394</v>
      </c>
      <c r="BS115" s="9">
        <f t="shared" si="191"/>
        <v>5</v>
      </c>
      <c r="BT115" s="38">
        <f>AVERAGE(BS$6:BS115)</f>
        <v>4.95</v>
      </c>
      <c r="BU115" s="32"/>
      <c r="BV115" s="9"/>
      <c r="BW115" s="32"/>
      <c r="BX115" s="9">
        <v>100</v>
      </c>
      <c r="BY115" s="7">
        <v>0.87092868503532372</v>
      </c>
      <c r="BZ115" s="9">
        <f t="shared" si="192"/>
        <v>8</v>
      </c>
      <c r="CA115" s="38">
        <f>AVERAGE(BZ$6:BZ115)</f>
        <v>5</v>
      </c>
      <c r="CB115" s="32"/>
      <c r="CC115" s="9"/>
      <c r="CD115" s="32"/>
      <c r="CE115" s="9">
        <v>100</v>
      </c>
      <c r="CF115" s="7">
        <v>8.6427240195916966E-2</v>
      </c>
      <c r="CG115" s="9">
        <f t="shared" si="193"/>
        <v>2</v>
      </c>
      <c r="CH115" s="38">
        <f>AVERAGE(CG$6:CG115)</f>
        <v>5.04</v>
      </c>
      <c r="CI115" s="32"/>
      <c r="CJ115" s="9"/>
      <c r="CK115" s="32"/>
      <c r="CL115" s="9">
        <v>100</v>
      </c>
      <c r="CM115" s="7">
        <v>0.42446647403994575</v>
      </c>
      <c r="CN115" s="9">
        <f t="shared" si="194"/>
        <v>4</v>
      </c>
      <c r="CO115" s="38">
        <f>AVERAGE(CN$6:CN115)</f>
        <v>4.76</v>
      </c>
      <c r="CP115" s="32"/>
      <c r="CQ115" s="9"/>
      <c r="CR115" s="32"/>
      <c r="CS115" s="9">
        <v>100</v>
      </c>
      <c r="CT115" s="7">
        <v>0.6769435319583863</v>
      </c>
      <c r="CU115" s="9">
        <f t="shared" si="195"/>
        <v>6</v>
      </c>
      <c r="CV115" s="38">
        <f>AVERAGE(CU$6:CU115)</f>
        <v>4.97</v>
      </c>
      <c r="CW115" s="32"/>
      <c r="CX115" s="9"/>
      <c r="CY115" s="32"/>
      <c r="CZ115" s="9">
        <v>100</v>
      </c>
      <c r="DA115" s="7">
        <v>0.43209520098753273</v>
      </c>
      <c r="DB115" s="9">
        <f t="shared" si="196"/>
        <v>4</v>
      </c>
      <c r="DC115" s="38">
        <f>AVERAGE(DB$6:DB115)</f>
        <v>5.0599999999999996</v>
      </c>
      <c r="DD115" s="32"/>
      <c r="DE115" s="9"/>
      <c r="DF115" s="32"/>
      <c r="DG115" s="9">
        <v>100</v>
      </c>
      <c r="DH115" s="7">
        <v>0.48398161804652773</v>
      </c>
      <c r="DI115" s="9">
        <f t="shared" si="197"/>
        <v>5</v>
      </c>
      <c r="DJ115" s="38">
        <f>AVERAGE(DI$6:DI115)</f>
        <v>5.29</v>
      </c>
      <c r="DK115" s="32"/>
      <c r="DL115" s="9"/>
      <c r="DM115" s="32"/>
      <c r="DN115" s="9">
        <v>100</v>
      </c>
      <c r="DO115" s="7">
        <v>0.73543543679988943</v>
      </c>
      <c r="DP115" s="9">
        <f t="shared" si="198"/>
        <v>6</v>
      </c>
      <c r="DQ115" s="38">
        <f>AVERAGE(DP$6:DP115)</f>
        <v>5.15</v>
      </c>
      <c r="DR115" s="32"/>
      <c r="DS115" s="9"/>
      <c r="DT115" s="32"/>
      <c r="DU115" s="9">
        <v>100</v>
      </c>
      <c r="DV115" s="7">
        <v>0.8421614752151072</v>
      </c>
      <c r="DW115" s="9">
        <f t="shared" si="199"/>
        <v>7</v>
      </c>
      <c r="DX115" s="38">
        <f>AVERAGE(DW$6:DW115)</f>
        <v>5.01</v>
      </c>
      <c r="DY115" s="32"/>
      <c r="DZ115" s="9"/>
      <c r="EA115" s="32"/>
      <c r="EB115" s="9">
        <v>100</v>
      </c>
      <c r="EC115" s="7">
        <v>0.22662139069871046</v>
      </c>
      <c r="ED115" s="9">
        <f t="shared" si="200"/>
        <v>3</v>
      </c>
      <c r="EE115" s="38">
        <f>AVERAGE(ED$6:ED115)</f>
        <v>4.57</v>
      </c>
      <c r="EF115" s="32"/>
      <c r="EG115" s="9"/>
      <c r="EH115" s="32"/>
      <c r="EI115" s="9">
        <v>100</v>
      </c>
      <c r="EJ115" s="7">
        <v>0.96379542793147266</v>
      </c>
      <c r="EK115" s="9">
        <f t="shared" si="201"/>
        <v>9</v>
      </c>
      <c r="EL115" s="38">
        <f>AVERAGE(EK$6:EK115)</f>
        <v>5.0999999999999996</v>
      </c>
      <c r="EM115" s="32"/>
      <c r="EN115" s="9"/>
      <c r="EO115" s="32"/>
      <c r="EP115" s="9">
        <v>100</v>
      </c>
      <c r="EQ115" s="7">
        <v>0.96493518029456027</v>
      </c>
      <c r="ER115" s="9">
        <f t="shared" si="202"/>
        <v>9</v>
      </c>
      <c r="ES115" s="38">
        <f>AVERAGE(ER$6:ER115)</f>
        <v>5.03</v>
      </c>
      <c r="ET115" s="32"/>
    </row>
    <row r="116" spans="5:150" x14ac:dyDescent="0.25">
      <c r="E116" s="7"/>
      <c r="L116" s="32"/>
      <c r="M116" s="9">
        <v>101</v>
      </c>
      <c r="N116" s="7">
        <v>9.0137274120934308E-2</v>
      </c>
      <c r="O116" s="9">
        <f t="shared" si="203"/>
        <v>2</v>
      </c>
      <c r="P116" s="38">
        <f>AVERAGE(O$6:O116)</f>
        <v>5.0693069306930694</v>
      </c>
      <c r="Q116" s="32"/>
      <c r="R116" s="9"/>
      <c r="S116" s="32"/>
      <c r="T116" s="9">
        <v>101</v>
      </c>
      <c r="U116" s="7">
        <v>0.42491641786182299</v>
      </c>
      <c r="V116" s="9">
        <f t="shared" si="184"/>
        <v>4</v>
      </c>
      <c r="W116" s="38">
        <f>AVERAGE(V$6:V116)</f>
        <v>4.891089108910891</v>
      </c>
      <c r="X116" s="32"/>
      <c r="Y116" s="9"/>
      <c r="Z116" s="32"/>
      <c r="AA116" s="9">
        <v>101</v>
      </c>
      <c r="AB116" s="7">
        <v>4.7183164162561297E-2</v>
      </c>
      <c r="AC116" s="9">
        <f t="shared" si="185"/>
        <v>2</v>
      </c>
      <c r="AD116" s="38">
        <f>AVERAGE(AC$6:AC116)</f>
        <v>5.0693069306930694</v>
      </c>
      <c r="AE116" s="32"/>
      <c r="AF116" s="9"/>
      <c r="AG116" s="32"/>
      <c r="AH116" s="9">
        <v>101</v>
      </c>
      <c r="AI116" s="7">
        <v>0.90459304669639096</v>
      </c>
      <c r="AJ116" s="9">
        <f t="shared" si="186"/>
        <v>8</v>
      </c>
      <c r="AK116" s="38">
        <f>AVERAGE(AJ$6:AJ116)</f>
        <v>4.8811881188118811</v>
      </c>
      <c r="AL116" s="32"/>
      <c r="AM116" s="9"/>
      <c r="AN116" s="32"/>
      <c r="AO116" s="9">
        <v>101</v>
      </c>
      <c r="AP116" s="7">
        <v>0.65669693320523947</v>
      </c>
      <c r="AQ116" s="9">
        <f t="shared" si="187"/>
        <v>6</v>
      </c>
      <c r="AR116" s="38">
        <f>AVERAGE(AQ$6:AQ116)</f>
        <v>5.1584158415841586</v>
      </c>
      <c r="AS116" s="32"/>
      <c r="AT116" s="9"/>
      <c r="AU116" s="32"/>
      <c r="AV116" s="9">
        <v>101</v>
      </c>
      <c r="AW116" s="7">
        <v>0.56804315577028319</v>
      </c>
      <c r="AX116" s="9">
        <f t="shared" si="188"/>
        <v>5</v>
      </c>
      <c r="AY116" s="38">
        <f>AVERAGE(AX$6:AX116)</f>
        <v>4.7722772277227721</v>
      </c>
      <c r="AZ116" s="32"/>
      <c r="BA116" s="9"/>
      <c r="BB116" s="32"/>
      <c r="BC116" s="9">
        <v>101</v>
      </c>
      <c r="BD116" s="7">
        <v>7.6369265065295622E-2</v>
      </c>
      <c r="BE116" s="9">
        <f t="shared" si="189"/>
        <v>2</v>
      </c>
      <c r="BF116" s="38">
        <f>AVERAGE(BE$6:BE116)</f>
        <v>4.8019801980198018</v>
      </c>
      <c r="BG116" s="32"/>
      <c r="BH116" s="9"/>
      <c r="BI116" s="32"/>
      <c r="BJ116" s="9">
        <v>101</v>
      </c>
      <c r="BK116" s="7">
        <v>0.36053446820005774</v>
      </c>
      <c r="BL116" s="9">
        <f t="shared" si="190"/>
        <v>4</v>
      </c>
      <c r="BM116" s="38">
        <f>AVERAGE(BL$6:BL116)</f>
        <v>5.1980198019801982</v>
      </c>
      <c r="BN116" s="32"/>
      <c r="BO116" s="9"/>
      <c r="BP116" s="32"/>
      <c r="BQ116" s="9">
        <v>101</v>
      </c>
      <c r="BR116" s="7">
        <v>0.15931283251848072</v>
      </c>
      <c r="BS116" s="9">
        <f t="shared" si="191"/>
        <v>3</v>
      </c>
      <c r="BT116" s="38">
        <f>AVERAGE(BS$6:BS116)</f>
        <v>4.9306930693069306</v>
      </c>
      <c r="BU116" s="32"/>
      <c r="BV116" s="9"/>
      <c r="BW116" s="32"/>
      <c r="BX116" s="9">
        <v>101</v>
      </c>
      <c r="BY116" s="7">
        <v>0.52827279322082177</v>
      </c>
      <c r="BZ116" s="9">
        <f t="shared" si="192"/>
        <v>5</v>
      </c>
      <c r="CA116" s="38">
        <f>AVERAGE(BZ$6:BZ116)</f>
        <v>5</v>
      </c>
      <c r="CB116" s="32"/>
      <c r="CC116" s="9"/>
      <c r="CD116" s="32"/>
      <c r="CE116" s="9">
        <v>101</v>
      </c>
      <c r="CF116" s="7">
        <v>0.51002870092634112</v>
      </c>
      <c r="CG116" s="9">
        <f t="shared" si="193"/>
        <v>5</v>
      </c>
      <c r="CH116" s="38">
        <f>AVERAGE(CG$6:CG116)</f>
        <v>5.0396039603960396</v>
      </c>
      <c r="CI116" s="32"/>
      <c r="CJ116" s="9"/>
      <c r="CK116" s="32"/>
      <c r="CL116" s="9">
        <v>101</v>
      </c>
      <c r="CM116" s="7">
        <v>0.60023413060116582</v>
      </c>
      <c r="CN116" s="9">
        <f t="shared" si="194"/>
        <v>5</v>
      </c>
      <c r="CO116" s="38">
        <f>AVERAGE(CN$6:CN116)</f>
        <v>4.7623762376237622</v>
      </c>
      <c r="CP116" s="32"/>
      <c r="CQ116" s="9"/>
      <c r="CR116" s="32"/>
      <c r="CS116" s="9">
        <v>101</v>
      </c>
      <c r="CT116" s="7">
        <v>0.62591895859804936</v>
      </c>
      <c r="CU116" s="9">
        <f t="shared" si="195"/>
        <v>6</v>
      </c>
      <c r="CV116" s="38">
        <f>AVERAGE(CU$6:CU116)</f>
        <v>4.9801980198019802</v>
      </c>
      <c r="CW116" s="32"/>
      <c r="CX116" s="9"/>
      <c r="CY116" s="32"/>
      <c r="CZ116" s="9">
        <v>101</v>
      </c>
      <c r="DA116" s="7">
        <v>0.52902850860846229</v>
      </c>
      <c r="DB116" s="9">
        <f t="shared" si="196"/>
        <v>5</v>
      </c>
      <c r="DC116" s="38">
        <f>AVERAGE(DB$6:DB116)</f>
        <v>5.0594059405940595</v>
      </c>
      <c r="DD116" s="32"/>
      <c r="DE116" s="9"/>
      <c r="DF116" s="32"/>
      <c r="DG116" s="9">
        <v>101</v>
      </c>
      <c r="DH116" s="7">
        <v>0.25053329399088398</v>
      </c>
      <c r="DI116" s="9">
        <f t="shared" si="197"/>
        <v>3</v>
      </c>
      <c r="DJ116" s="38">
        <f>AVERAGE(DI$6:DI116)</f>
        <v>5.2673267326732676</v>
      </c>
      <c r="DK116" s="32"/>
      <c r="DL116" s="9"/>
      <c r="DM116" s="32"/>
      <c r="DN116" s="9">
        <v>101</v>
      </c>
      <c r="DO116" s="7">
        <v>0.74924995197216049</v>
      </c>
      <c r="DP116" s="9">
        <f t="shared" si="198"/>
        <v>6</v>
      </c>
      <c r="DQ116" s="38">
        <f>AVERAGE(DP$6:DP116)</f>
        <v>5.1584158415841586</v>
      </c>
      <c r="DR116" s="32"/>
      <c r="DS116" s="9"/>
      <c r="DT116" s="32"/>
      <c r="DU116" s="9">
        <v>101</v>
      </c>
      <c r="DV116" s="7">
        <v>0.71315973580931313</v>
      </c>
      <c r="DW116" s="9">
        <f t="shared" si="199"/>
        <v>6</v>
      </c>
      <c r="DX116" s="38">
        <f>AVERAGE(DW$6:DW116)</f>
        <v>5.0198019801980198</v>
      </c>
      <c r="DY116" s="32"/>
      <c r="DZ116" s="9"/>
      <c r="EA116" s="32"/>
      <c r="EB116" s="9">
        <v>101</v>
      </c>
      <c r="EC116" s="7">
        <v>0.71001620986498892</v>
      </c>
      <c r="ED116" s="9">
        <f t="shared" si="200"/>
        <v>6</v>
      </c>
      <c r="EE116" s="38">
        <f>AVERAGE(ED$6:ED116)</f>
        <v>4.5841584158415838</v>
      </c>
      <c r="EF116" s="32"/>
      <c r="EG116" s="9"/>
      <c r="EH116" s="32"/>
      <c r="EI116" s="9">
        <v>101</v>
      </c>
      <c r="EJ116" s="7">
        <v>0.35464538473752327</v>
      </c>
      <c r="EK116" s="9">
        <f t="shared" si="201"/>
        <v>4</v>
      </c>
      <c r="EL116" s="38">
        <f>AVERAGE(EK$6:EK116)</f>
        <v>5.0891089108910892</v>
      </c>
      <c r="EM116" s="32"/>
      <c r="EN116" s="9"/>
      <c r="EO116" s="32"/>
      <c r="EP116" s="9">
        <v>101</v>
      </c>
      <c r="EQ116" s="7">
        <v>0.94161785172764212</v>
      </c>
      <c r="ER116" s="9">
        <f t="shared" si="202"/>
        <v>9</v>
      </c>
      <c r="ES116" s="38">
        <f>AVERAGE(ER$6:ER116)</f>
        <v>5.0693069306930694</v>
      </c>
      <c r="ET116" s="32"/>
    </row>
    <row r="117" spans="5:150" x14ac:dyDescent="0.25">
      <c r="E117" s="7"/>
      <c r="L117" s="32"/>
      <c r="M117" s="9">
        <v>102</v>
      </c>
      <c r="N117" s="7">
        <v>0.42069617231027223</v>
      </c>
      <c r="O117" s="9">
        <f t="shared" si="203"/>
        <v>4</v>
      </c>
      <c r="P117" s="38">
        <f>AVERAGE(O$6:O117)</f>
        <v>5.0588235294117645</v>
      </c>
      <c r="Q117" s="32"/>
      <c r="R117" s="9"/>
      <c r="S117" s="32"/>
      <c r="T117" s="9">
        <v>102</v>
      </c>
      <c r="U117" s="7">
        <v>0.831955198867945</v>
      </c>
      <c r="V117" s="9">
        <f t="shared" si="184"/>
        <v>7</v>
      </c>
      <c r="W117" s="38">
        <f>AVERAGE(V$6:V117)</f>
        <v>4.9117647058823533</v>
      </c>
      <c r="X117" s="32"/>
      <c r="Y117" s="9"/>
      <c r="Z117" s="32"/>
      <c r="AA117" s="9">
        <v>102</v>
      </c>
      <c r="AB117" s="7">
        <v>0.299329543748172</v>
      </c>
      <c r="AC117" s="9">
        <f t="shared" si="185"/>
        <v>4</v>
      </c>
      <c r="AD117" s="38">
        <f>AVERAGE(AC$6:AC117)</f>
        <v>5.0588235294117645</v>
      </c>
      <c r="AE117" s="32"/>
      <c r="AF117" s="9"/>
      <c r="AG117" s="32"/>
      <c r="AH117" s="9">
        <v>102</v>
      </c>
      <c r="AI117" s="7">
        <v>0.8654190486704465</v>
      </c>
      <c r="AJ117" s="9">
        <f t="shared" si="186"/>
        <v>7</v>
      </c>
      <c r="AK117" s="38">
        <f>AVERAGE(AJ$6:AJ117)</f>
        <v>4.9019607843137258</v>
      </c>
      <c r="AL117" s="32"/>
      <c r="AM117" s="9"/>
      <c r="AN117" s="32"/>
      <c r="AO117" s="9">
        <v>102</v>
      </c>
      <c r="AP117" s="7">
        <v>0.19892060072743334</v>
      </c>
      <c r="AQ117" s="9">
        <f t="shared" si="187"/>
        <v>3</v>
      </c>
      <c r="AR117" s="38">
        <f>AVERAGE(AQ$6:AQ117)</f>
        <v>5.1372549019607847</v>
      </c>
      <c r="AS117" s="32"/>
      <c r="AT117" s="9"/>
      <c r="AU117" s="32"/>
      <c r="AV117" s="9">
        <v>102</v>
      </c>
      <c r="AW117" s="7">
        <v>0.54222522172494791</v>
      </c>
      <c r="AX117" s="9">
        <f t="shared" si="188"/>
        <v>5</v>
      </c>
      <c r="AY117" s="38">
        <f>AVERAGE(AX$6:AX117)</f>
        <v>4.7745098039215685</v>
      </c>
      <c r="AZ117" s="32"/>
      <c r="BA117" s="9"/>
      <c r="BB117" s="32"/>
      <c r="BC117" s="9">
        <v>102</v>
      </c>
      <c r="BD117" s="7">
        <v>0.33017150865634903</v>
      </c>
      <c r="BE117" s="9">
        <f t="shared" si="189"/>
        <v>4</v>
      </c>
      <c r="BF117" s="38">
        <f>AVERAGE(BE$6:BE117)</f>
        <v>4.7941176470588234</v>
      </c>
      <c r="BG117" s="32"/>
      <c r="BH117" s="9"/>
      <c r="BI117" s="32"/>
      <c r="BJ117" s="9">
        <v>102</v>
      </c>
      <c r="BK117" s="7">
        <v>0.6752511230588425</v>
      </c>
      <c r="BL117" s="9">
        <f t="shared" si="190"/>
        <v>6</v>
      </c>
      <c r="BM117" s="38">
        <f>AVERAGE(BL$6:BL117)</f>
        <v>5.2058823529411766</v>
      </c>
      <c r="BN117" s="32"/>
      <c r="BO117" s="9"/>
      <c r="BP117" s="32"/>
      <c r="BQ117" s="9">
        <v>102</v>
      </c>
      <c r="BR117" s="7">
        <v>4.610874704667367E-2</v>
      </c>
      <c r="BS117" s="9">
        <f t="shared" si="191"/>
        <v>2</v>
      </c>
      <c r="BT117" s="38">
        <f>AVERAGE(BS$6:BS117)</f>
        <v>4.9019607843137258</v>
      </c>
      <c r="BU117" s="32"/>
      <c r="BV117" s="9"/>
      <c r="BW117" s="32"/>
      <c r="BX117" s="9">
        <v>102</v>
      </c>
      <c r="BY117" s="7">
        <v>6.0488508752314374E-2</v>
      </c>
      <c r="BZ117" s="9">
        <f t="shared" si="192"/>
        <v>2</v>
      </c>
      <c r="CA117" s="38">
        <f>AVERAGE(BZ$6:BZ117)</f>
        <v>4.9705882352941178</v>
      </c>
      <c r="CB117" s="32"/>
      <c r="CC117" s="9"/>
      <c r="CD117" s="32"/>
      <c r="CE117" s="9">
        <v>102</v>
      </c>
      <c r="CF117" s="7">
        <v>0.66478097709477879</v>
      </c>
      <c r="CG117" s="9">
        <f t="shared" si="193"/>
        <v>6</v>
      </c>
      <c r="CH117" s="38">
        <f>AVERAGE(CG$6:CG117)</f>
        <v>5.0490196078431371</v>
      </c>
      <c r="CI117" s="32"/>
      <c r="CJ117" s="9"/>
      <c r="CK117" s="32"/>
      <c r="CL117" s="9">
        <v>102</v>
      </c>
      <c r="CM117" s="7">
        <v>0.12057725962949917</v>
      </c>
      <c r="CN117" s="9">
        <f t="shared" si="194"/>
        <v>2</v>
      </c>
      <c r="CO117" s="38">
        <f>AVERAGE(CN$6:CN117)</f>
        <v>4.7352941176470589</v>
      </c>
      <c r="CP117" s="32"/>
      <c r="CQ117" s="9"/>
      <c r="CR117" s="32"/>
      <c r="CS117" s="9">
        <v>102</v>
      </c>
      <c r="CT117" s="7">
        <v>0.34826367802452296</v>
      </c>
      <c r="CU117" s="9">
        <f t="shared" si="195"/>
        <v>4</v>
      </c>
      <c r="CV117" s="38">
        <f>AVERAGE(CU$6:CU117)</f>
        <v>4.9705882352941178</v>
      </c>
      <c r="CW117" s="32"/>
      <c r="CX117" s="9"/>
      <c r="CY117" s="32"/>
      <c r="CZ117" s="9">
        <v>102</v>
      </c>
      <c r="DA117" s="7">
        <v>0.44968193338718265</v>
      </c>
      <c r="DB117" s="9">
        <f t="shared" si="196"/>
        <v>5</v>
      </c>
      <c r="DC117" s="38">
        <f>AVERAGE(DB$6:DB117)</f>
        <v>5.0588235294117645</v>
      </c>
      <c r="DD117" s="32"/>
      <c r="DE117" s="9"/>
      <c r="DF117" s="32"/>
      <c r="DG117" s="9">
        <v>102</v>
      </c>
      <c r="DH117" s="7">
        <v>2.4646405334351584E-2</v>
      </c>
      <c r="DI117" s="9">
        <f t="shared" si="197"/>
        <v>1</v>
      </c>
      <c r="DJ117" s="38">
        <f>AVERAGE(DI$6:DI117)</f>
        <v>5.2254901960784315</v>
      </c>
      <c r="DK117" s="32"/>
      <c r="DL117" s="9"/>
      <c r="DM117" s="32"/>
      <c r="DN117" s="9">
        <v>102</v>
      </c>
      <c r="DO117" s="7">
        <v>0.86372526569175534</v>
      </c>
      <c r="DP117" s="9">
        <f t="shared" si="198"/>
        <v>7</v>
      </c>
      <c r="DQ117" s="38">
        <f>AVERAGE(DP$6:DP117)</f>
        <v>5.1764705882352944</v>
      </c>
      <c r="DR117" s="32"/>
      <c r="DS117" s="9"/>
      <c r="DT117" s="32"/>
      <c r="DU117" s="9">
        <v>102</v>
      </c>
      <c r="DV117" s="7">
        <v>0.27726394182536751</v>
      </c>
      <c r="DW117" s="9">
        <f t="shared" si="199"/>
        <v>4</v>
      </c>
      <c r="DX117" s="38">
        <f>AVERAGE(DW$6:DW117)</f>
        <v>5.0098039215686274</v>
      </c>
      <c r="DY117" s="32"/>
      <c r="DZ117" s="9"/>
      <c r="EA117" s="32"/>
      <c r="EB117" s="9">
        <v>102</v>
      </c>
      <c r="EC117" s="7">
        <v>0.65834808049839921</v>
      </c>
      <c r="ED117" s="9">
        <f t="shared" si="200"/>
        <v>6</v>
      </c>
      <c r="EE117" s="38">
        <f>AVERAGE(ED$6:ED117)</f>
        <v>4.5980392156862742</v>
      </c>
      <c r="EF117" s="32"/>
      <c r="EG117" s="9"/>
      <c r="EH117" s="32"/>
      <c r="EI117" s="9">
        <v>102</v>
      </c>
      <c r="EJ117" s="7">
        <v>0.64237313985358924</v>
      </c>
      <c r="EK117" s="9">
        <f t="shared" si="201"/>
        <v>6</v>
      </c>
      <c r="EL117" s="38">
        <f>AVERAGE(EK$6:EK117)</f>
        <v>5.0980392156862742</v>
      </c>
      <c r="EM117" s="32"/>
      <c r="EN117" s="9"/>
      <c r="EO117" s="32"/>
      <c r="EP117" s="9">
        <v>102</v>
      </c>
      <c r="EQ117" s="7">
        <v>0.93319363976479508</v>
      </c>
      <c r="ER117" s="9">
        <f t="shared" si="202"/>
        <v>9</v>
      </c>
      <c r="ES117" s="38">
        <f>AVERAGE(ER$6:ER117)</f>
        <v>5.1078431372549016</v>
      </c>
      <c r="ET117" s="32"/>
    </row>
    <row r="118" spans="5:150" x14ac:dyDescent="0.25">
      <c r="E118" s="7"/>
      <c r="L118" s="32"/>
      <c r="M118" s="9">
        <v>103</v>
      </c>
      <c r="N118" s="7">
        <v>0.65852873981930315</v>
      </c>
      <c r="O118" s="9">
        <f t="shared" si="203"/>
        <v>6</v>
      </c>
      <c r="P118" s="38">
        <f>AVERAGE(O$6:O118)</f>
        <v>5.0679611650485441</v>
      </c>
      <c r="Q118" s="32"/>
      <c r="R118" s="9"/>
      <c r="S118" s="32"/>
      <c r="T118" s="9">
        <v>103</v>
      </c>
      <c r="U118" s="7">
        <v>0.4569274170207791</v>
      </c>
      <c r="V118" s="9">
        <f t="shared" si="184"/>
        <v>5</v>
      </c>
      <c r="W118" s="38">
        <f>AVERAGE(V$6:V118)</f>
        <v>4.9126213592233006</v>
      </c>
      <c r="X118" s="32"/>
      <c r="Y118" s="9"/>
      <c r="Z118" s="32"/>
      <c r="AA118" s="9">
        <v>103</v>
      </c>
      <c r="AB118" s="7">
        <v>0.15471503033768386</v>
      </c>
      <c r="AC118" s="9">
        <f t="shared" si="185"/>
        <v>3</v>
      </c>
      <c r="AD118" s="38">
        <f>AVERAGE(AC$6:AC118)</f>
        <v>5.0388349514563107</v>
      </c>
      <c r="AE118" s="32"/>
      <c r="AF118" s="9"/>
      <c r="AG118" s="32"/>
      <c r="AH118" s="9">
        <v>103</v>
      </c>
      <c r="AI118" s="7">
        <v>0.69081006530905142</v>
      </c>
      <c r="AJ118" s="9">
        <f t="shared" si="186"/>
        <v>6</v>
      </c>
      <c r="AK118" s="38">
        <f>AVERAGE(AJ$6:AJ118)</f>
        <v>4.9126213592233006</v>
      </c>
      <c r="AL118" s="32"/>
      <c r="AM118" s="9"/>
      <c r="AN118" s="32"/>
      <c r="AO118" s="9">
        <v>103</v>
      </c>
      <c r="AP118" s="7">
        <v>0.44410937465727329</v>
      </c>
      <c r="AQ118" s="9">
        <f t="shared" si="187"/>
        <v>5</v>
      </c>
      <c r="AR118" s="38">
        <f>AVERAGE(AQ$6:AQ118)</f>
        <v>5.1359223300970873</v>
      </c>
      <c r="AS118" s="32"/>
      <c r="AT118" s="9"/>
      <c r="AU118" s="32"/>
      <c r="AV118" s="9">
        <v>103</v>
      </c>
      <c r="AW118" s="7">
        <v>0.24598918837727979</v>
      </c>
      <c r="AX118" s="9">
        <f t="shared" si="188"/>
        <v>3</v>
      </c>
      <c r="AY118" s="38">
        <f>AVERAGE(AX$6:AX118)</f>
        <v>4.7572815533980579</v>
      </c>
      <c r="AZ118" s="32"/>
      <c r="BA118" s="9"/>
      <c r="BB118" s="32"/>
      <c r="BC118" s="9">
        <v>103</v>
      </c>
      <c r="BD118" s="7">
        <v>3.8326958048855886E-2</v>
      </c>
      <c r="BE118" s="9">
        <f t="shared" si="189"/>
        <v>1</v>
      </c>
      <c r="BF118" s="38">
        <f>AVERAGE(BE$6:BE118)</f>
        <v>4.7572815533980579</v>
      </c>
      <c r="BG118" s="32"/>
      <c r="BH118" s="9"/>
      <c r="BI118" s="32"/>
      <c r="BJ118" s="9">
        <v>103</v>
      </c>
      <c r="BK118" s="7">
        <v>0.7543283753329888</v>
      </c>
      <c r="BL118" s="9">
        <f t="shared" si="190"/>
        <v>6</v>
      </c>
      <c r="BM118" s="38">
        <f>AVERAGE(BL$6:BL118)</f>
        <v>5.2135922330097086</v>
      </c>
      <c r="BN118" s="32"/>
      <c r="BO118" s="9"/>
      <c r="BP118" s="32"/>
      <c r="BQ118" s="9">
        <v>103</v>
      </c>
      <c r="BR118" s="7">
        <v>0.74600472906604409</v>
      </c>
      <c r="BS118" s="9">
        <f t="shared" si="191"/>
        <v>6</v>
      </c>
      <c r="BT118" s="38">
        <f>AVERAGE(BS$6:BS118)</f>
        <v>4.9126213592233006</v>
      </c>
      <c r="BU118" s="32"/>
      <c r="BV118" s="9"/>
      <c r="BW118" s="32"/>
      <c r="BX118" s="9">
        <v>103</v>
      </c>
      <c r="BY118" s="7">
        <v>0.15158200747100636</v>
      </c>
      <c r="BZ118" s="9">
        <f t="shared" si="192"/>
        <v>3</v>
      </c>
      <c r="CA118" s="38">
        <f>AVERAGE(BZ$6:BZ118)</f>
        <v>4.9514563106796112</v>
      </c>
      <c r="CB118" s="32"/>
      <c r="CC118" s="9"/>
      <c r="CD118" s="32"/>
      <c r="CE118" s="9">
        <v>103</v>
      </c>
      <c r="CF118" s="7">
        <v>0.36220320384018123</v>
      </c>
      <c r="CG118" s="9">
        <f t="shared" si="193"/>
        <v>4</v>
      </c>
      <c r="CH118" s="38">
        <f>AVERAGE(CG$6:CG118)</f>
        <v>5.0388349514563107</v>
      </c>
      <c r="CI118" s="32"/>
      <c r="CJ118" s="9"/>
      <c r="CK118" s="32"/>
      <c r="CL118" s="9">
        <v>103</v>
      </c>
      <c r="CM118" s="7">
        <v>9.728870922117494E-2</v>
      </c>
      <c r="CN118" s="9">
        <f t="shared" si="194"/>
        <v>2</v>
      </c>
      <c r="CO118" s="38">
        <f>AVERAGE(CN$6:CN118)</f>
        <v>4.70873786407767</v>
      </c>
      <c r="CP118" s="32"/>
      <c r="CQ118" s="9"/>
      <c r="CR118" s="32"/>
      <c r="CS118" s="9">
        <v>103</v>
      </c>
      <c r="CT118" s="7">
        <v>0.35579418265842833</v>
      </c>
      <c r="CU118" s="9">
        <f t="shared" si="195"/>
        <v>4</v>
      </c>
      <c r="CV118" s="38">
        <f>AVERAGE(CU$6:CU118)</f>
        <v>4.9611650485436893</v>
      </c>
      <c r="CW118" s="32"/>
      <c r="CX118" s="9"/>
      <c r="CY118" s="32"/>
      <c r="CZ118" s="9">
        <v>103</v>
      </c>
      <c r="DA118" s="7">
        <v>0.5861956944281701</v>
      </c>
      <c r="DB118" s="9">
        <f t="shared" si="196"/>
        <v>5</v>
      </c>
      <c r="DC118" s="38">
        <f>AVERAGE(DB$6:DB118)</f>
        <v>5.058252427184466</v>
      </c>
      <c r="DD118" s="32"/>
      <c r="DE118" s="9"/>
      <c r="DF118" s="32"/>
      <c r="DG118" s="9">
        <v>103</v>
      </c>
      <c r="DH118" s="7">
        <v>0.69289874722016975</v>
      </c>
      <c r="DI118" s="9">
        <f t="shared" si="197"/>
        <v>6</v>
      </c>
      <c r="DJ118" s="38">
        <f>AVERAGE(DI$6:DI118)</f>
        <v>5.233009708737864</v>
      </c>
      <c r="DK118" s="32"/>
      <c r="DL118" s="9"/>
      <c r="DM118" s="32"/>
      <c r="DN118" s="9">
        <v>103</v>
      </c>
      <c r="DO118" s="7">
        <v>0.81851183128310367</v>
      </c>
      <c r="DP118" s="9">
        <f t="shared" si="198"/>
        <v>7</v>
      </c>
      <c r="DQ118" s="38">
        <f>AVERAGE(DP$6:DP118)</f>
        <v>5.1941747572815533</v>
      </c>
      <c r="DR118" s="32"/>
      <c r="DS118" s="9"/>
      <c r="DT118" s="32"/>
      <c r="DU118" s="9">
        <v>103</v>
      </c>
      <c r="DV118" s="7">
        <v>0.79093004009337164</v>
      </c>
      <c r="DW118" s="9">
        <f t="shared" si="199"/>
        <v>7</v>
      </c>
      <c r="DX118" s="38">
        <f>AVERAGE(DW$6:DW118)</f>
        <v>5.0291262135922334</v>
      </c>
      <c r="DY118" s="32"/>
      <c r="DZ118" s="9"/>
      <c r="EA118" s="32"/>
      <c r="EB118" s="9">
        <v>103</v>
      </c>
      <c r="EC118" s="7">
        <v>4.9261456704698503E-2</v>
      </c>
      <c r="ED118" s="9">
        <f t="shared" si="200"/>
        <v>2</v>
      </c>
      <c r="EE118" s="38">
        <f>AVERAGE(ED$6:ED118)</f>
        <v>4.5728155339805827</v>
      </c>
      <c r="EF118" s="32"/>
      <c r="EG118" s="9"/>
      <c r="EH118" s="32"/>
      <c r="EI118" s="9">
        <v>103</v>
      </c>
      <c r="EJ118" s="7">
        <v>0.82216702462756075</v>
      </c>
      <c r="EK118" s="9">
        <f t="shared" si="201"/>
        <v>7</v>
      </c>
      <c r="EL118" s="38">
        <f>AVERAGE(EK$6:EK118)</f>
        <v>5.116504854368932</v>
      </c>
      <c r="EM118" s="32"/>
      <c r="EN118" s="9"/>
      <c r="EO118" s="32"/>
      <c r="EP118" s="9">
        <v>103</v>
      </c>
      <c r="EQ118" s="7">
        <v>0.59472447889856994</v>
      </c>
      <c r="ER118" s="9">
        <f t="shared" si="202"/>
        <v>5</v>
      </c>
      <c r="ES118" s="38">
        <f>AVERAGE(ER$6:ER118)</f>
        <v>5.1067961165048548</v>
      </c>
      <c r="ET118" s="32"/>
    </row>
    <row r="119" spans="5:150" x14ac:dyDescent="0.25">
      <c r="E119" s="7"/>
      <c r="L119" s="32"/>
      <c r="M119" s="9">
        <v>104</v>
      </c>
      <c r="N119" s="7">
        <v>0.14230100697022863</v>
      </c>
      <c r="O119" s="9">
        <f t="shared" si="203"/>
        <v>3</v>
      </c>
      <c r="P119" s="38">
        <f>AVERAGE(O$6:O119)</f>
        <v>5.0480769230769234</v>
      </c>
      <c r="Q119" s="32"/>
      <c r="R119" s="9"/>
      <c r="S119" s="32"/>
      <c r="T119" s="9">
        <v>104</v>
      </c>
      <c r="U119" s="7">
        <v>0.3176197657303419</v>
      </c>
      <c r="V119" s="9">
        <f t="shared" si="184"/>
        <v>4</v>
      </c>
      <c r="W119" s="38">
        <f>AVERAGE(V$6:V119)</f>
        <v>4.9038461538461542</v>
      </c>
      <c r="X119" s="32"/>
      <c r="Y119" s="9"/>
      <c r="Z119" s="32"/>
      <c r="AA119" s="9">
        <v>104</v>
      </c>
      <c r="AB119" s="7">
        <v>0.67824062393628992</v>
      </c>
      <c r="AC119" s="9">
        <f t="shared" si="185"/>
        <v>6</v>
      </c>
      <c r="AD119" s="38">
        <f>AVERAGE(AC$6:AC119)</f>
        <v>5.0480769230769234</v>
      </c>
      <c r="AE119" s="32"/>
      <c r="AF119" s="9"/>
      <c r="AG119" s="32"/>
      <c r="AH119" s="9">
        <v>104</v>
      </c>
      <c r="AI119" s="7">
        <v>0.76718363419058733</v>
      </c>
      <c r="AJ119" s="9">
        <f t="shared" si="186"/>
        <v>7</v>
      </c>
      <c r="AK119" s="38">
        <f>AVERAGE(AJ$6:AJ119)</f>
        <v>4.9326923076923075</v>
      </c>
      <c r="AL119" s="32"/>
      <c r="AM119" s="9"/>
      <c r="AN119" s="32"/>
      <c r="AO119" s="9">
        <v>104</v>
      </c>
      <c r="AP119" s="7">
        <v>0.71632794852484949</v>
      </c>
      <c r="AQ119" s="9">
        <f t="shared" si="187"/>
        <v>6</v>
      </c>
      <c r="AR119" s="38">
        <f>AVERAGE(AQ$6:AQ119)</f>
        <v>5.1442307692307692</v>
      </c>
      <c r="AS119" s="32"/>
      <c r="AT119" s="9"/>
      <c r="AU119" s="32"/>
      <c r="AV119" s="9">
        <v>104</v>
      </c>
      <c r="AW119" s="7">
        <v>0.68443201432819478</v>
      </c>
      <c r="AX119" s="9">
        <f t="shared" si="188"/>
        <v>6</v>
      </c>
      <c r="AY119" s="38">
        <f>AVERAGE(AX$6:AX119)</f>
        <v>4.7692307692307692</v>
      </c>
      <c r="AZ119" s="32"/>
      <c r="BA119" s="9"/>
      <c r="BB119" s="32"/>
      <c r="BC119" s="9">
        <v>104</v>
      </c>
      <c r="BD119" s="7">
        <v>0.73838339518988505</v>
      </c>
      <c r="BE119" s="9">
        <f t="shared" si="189"/>
        <v>6</v>
      </c>
      <c r="BF119" s="38">
        <f>AVERAGE(BE$6:BE119)</f>
        <v>4.7692307692307692</v>
      </c>
      <c r="BG119" s="32"/>
      <c r="BH119" s="9"/>
      <c r="BI119" s="32"/>
      <c r="BJ119" s="9">
        <v>104</v>
      </c>
      <c r="BK119" s="7">
        <v>0.47911329651833512</v>
      </c>
      <c r="BL119" s="9">
        <f t="shared" si="190"/>
        <v>5</v>
      </c>
      <c r="BM119" s="38">
        <f>AVERAGE(BL$6:BL119)</f>
        <v>5.2115384615384617</v>
      </c>
      <c r="BN119" s="32"/>
      <c r="BO119" s="9"/>
      <c r="BP119" s="32"/>
      <c r="BQ119" s="9">
        <v>104</v>
      </c>
      <c r="BR119" s="7">
        <v>0.1924354690418113</v>
      </c>
      <c r="BS119" s="9">
        <f t="shared" si="191"/>
        <v>3</v>
      </c>
      <c r="BT119" s="38">
        <f>AVERAGE(BS$6:BS119)</f>
        <v>4.8942307692307692</v>
      </c>
      <c r="BU119" s="32"/>
      <c r="BV119" s="9"/>
      <c r="BW119" s="32"/>
      <c r="BX119" s="9">
        <v>104</v>
      </c>
      <c r="BY119" s="7">
        <v>6.47338475973811E-2</v>
      </c>
      <c r="BZ119" s="9">
        <f t="shared" si="192"/>
        <v>2</v>
      </c>
      <c r="CA119" s="38">
        <f>AVERAGE(BZ$6:BZ119)</f>
        <v>4.9230769230769234</v>
      </c>
      <c r="CB119" s="32"/>
      <c r="CC119" s="9"/>
      <c r="CD119" s="32"/>
      <c r="CE119" s="9">
        <v>104</v>
      </c>
      <c r="CF119" s="7">
        <v>0.53464997772243805</v>
      </c>
      <c r="CG119" s="9">
        <f t="shared" si="193"/>
        <v>5</v>
      </c>
      <c r="CH119" s="38">
        <f>AVERAGE(CG$6:CG119)</f>
        <v>5.0384615384615383</v>
      </c>
      <c r="CI119" s="32"/>
      <c r="CJ119" s="9"/>
      <c r="CK119" s="32"/>
      <c r="CL119" s="9">
        <v>104</v>
      </c>
      <c r="CM119" s="7">
        <v>0.10368524893419817</v>
      </c>
      <c r="CN119" s="9">
        <f t="shared" si="194"/>
        <v>2</v>
      </c>
      <c r="CO119" s="38">
        <f>AVERAGE(CN$6:CN119)</f>
        <v>4.6826923076923075</v>
      </c>
      <c r="CP119" s="32"/>
      <c r="CQ119" s="9"/>
      <c r="CR119" s="32"/>
      <c r="CS119" s="9">
        <v>104</v>
      </c>
      <c r="CT119" s="7">
        <v>0.23400406911969185</v>
      </c>
      <c r="CU119" s="9">
        <f t="shared" si="195"/>
        <v>3</v>
      </c>
      <c r="CV119" s="38">
        <f>AVERAGE(CU$6:CU119)</f>
        <v>4.9423076923076925</v>
      </c>
      <c r="CW119" s="32"/>
      <c r="CX119" s="9"/>
      <c r="CY119" s="32"/>
      <c r="CZ119" s="9">
        <v>104</v>
      </c>
      <c r="DA119" s="7">
        <v>0.89078263053670526</v>
      </c>
      <c r="DB119" s="9">
        <f t="shared" si="196"/>
        <v>8</v>
      </c>
      <c r="DC119" s="38">
        <f>AVERAGE(DB$6:DB119)</f>
        <v>5.0865384615384617</v>
      </c>
      <c r="DD119" s="32"/>
      <c r="DE119" s="9"/>
      <c r="DF119" s="32"/>
      <c r="DG119" s="9">
        <v>104</v>
      </c>
      <c r="DH119" s="7">
        <v>0.84285481841652654</v>
      </c>
      <c r="DI119" s="9">
        <f t="shared" si="197"/>
        <v>7</v>
      </c>
      <c r="DJ119" s="38">
        <f>AVERAGE(DI$6:DI119)</f>
        <v>5.25</v>
      </c>
      <c r="DK119" s="32"/>
      <c r="DL119" s="9"/>
      <c r="DM119" s="32"/>
      <c r="DN119" s="9">
        <v>104</v>
      </c>
      <c r="DO119" s="7">
        <v>0.53359311082749628</v>
      </c>
      <c r="DP119" s="9">
        <f t="shared" si="198"/>
        <v>5</v>
      </c>
      <c r="DQ119" s="38">
        <f>AVERAGE(DP$6:DP119)</f>
        <v>5.1923076923076925</v>
      </c>
      <c r="DR119" s="32"/>
      <c r="DS119" s="9"/>
      <c r="DT119" s="32"/>
      <c r="DU119" s="9">
        <v>104</v>
      </c>
      <c r="DV119" s="7">
        <v>0.32897064811550081</v>
      </c>
      <c r="DW119" s="9">
        <f t="shared" si="199"/>
        <v>4</v>
      </c>
      <c r="DX119" s="38">
        <f>AVERAGE(DW$6:DW119)</f>
        <v>5.0192307692307692</v>
      </c>
      <c r="DY119" s="32"/>
      <c r="DZ119" s="9"/>
      <c r="EA119" s="32"/>
      <c r="EB119" s="9">
        <v>104</v>
      </c>
      <c r="EC119" s="7">
        <v>0.36965020294883288</v>
      </c>
      <c r="ED119" s="9">
        <f t="shared" si="200"/>
        <v>4</v>
      </c>
      <c r="EE119" s="38">
        <f>AVERAGE(ED$6:ED119)</f>
        <v>4.5673076923076925</v>
      </c>
      <c r="EF119" s="32"/>
      <c r="EG119" s="9"/>
      <c r="EH119" s="32"/>
      <c r="EI119" s="9">
        <v>104</v>
      </c>
      <c r="EJ119" s="7">
        <v>0.4160176832228899</v>
      </c>
      <c r="EK119" s="9">
        <f t="shared" si="201"/>
        <v>4</v>
      </c>
      <c r="EL119" s="38">
        <f>AVERAGE(EK$6:EK119)</f>
        <v>5.1057692307692308</v>
      </c>
      <c r="EM119" s="32"/>
      <c r="EN119" s="9"/>
      <c r="EO119" s="32"/>
      <c r="EP119" s="9">
        <v>104</v>
      </c>
      <c r="EQ119" s="7">
        <v>0.28310663279262371</v>
      </c>
      <c r="ER119" s="9">
        <f t="shared" si="202"/>
        <v>4</v>
      </c>
      <c r="ES119" s="38">
        <f>AVERAGE(ER$6:ER119)</f>
        <v>5.0961538461538458</v>
      </c>
      <c r="ET119" s="32"/>
    </row>
    <row r="120" spans="5:150" x14ac:dyDescent="0.25">
      <c r="E120" s="7"/>
      <c r="L120" s="32">
        <v>14</v>
      </c>
      <c r="M120" s="9">
        <v>105</v>
      </c>
      <c r="N120" s="7">
        <v>0.2850185896968469</v>
      </c>
      <c r="O120" s="9">
        <f t="shared" si="203"/>
        <v>4</v>
      </c>
      <c r="P120" s="38">
        <f>AVERAGE(O$6:O120)</f>
        <v>5.038095238095238</v>
      </c>
      <c r="Q120" s="32">
        <f t="shared" ref="Q120" si="284">SUM(O120:O127)</f>
        <v>35</v>
      </c>
      <c r="R120" s="9"/>
      <c r="S120" s="32">
        <v>14</v>
      </c>
      <c r="T120" s="9">
        <v>105</v>
      </c>
      <c r="U120" s="7">
        <v>0.57417935115518048</v>
      </c>
      <c r="V120" s="9">
        <f t="shared" si="184"/>
        <v>5</v>
      </c>
      <c r="W120" s="38">
        <f>AVERAGE(V$6:V120)</f>
        <v>4.9047619047619051</v>
      </c>
      <c r="X120" s="32">
        <f t="shared" ref="X120" si="285">SUM(V120:V127)</f>
        <v>43</v>
      </c>
      <c r="Y120" s="9"/>
      <c r="Z120" s="32">
        <v>14</v>
      </c>
      <c r="AA120" s="9">
        <v>105</v>
      </c>
      <c r="AB120" s="7">
        <v>0.29392132721841335</v>
      </c>
      <c r="AC120" s="9">
        <f t="shared" si="185"/>
        <v>4</v>
      </c>
      <c r="AD120" s="38">
        <f>AVERAGE(AC$6:AC120)</f>
        <v>5.038095238095238</v>
      </c>
      <c r="AE120" s="32">
        <f t="shared" ref="AE120" si="286">SUM(AC120:AC127)</f>
        <v>43</v>
      </c>
      <c r="AF120" s="9"/>
      <c r="AG120" s="32">
        <v>14</v>
      </c>
      <c r="AH120" s="9">
        <v>105</v>
      </c>
      <c r="AI120" s="7">
        <v>9.9571608181577176E-2</v>
      </c>
      <c r="AJ120" s="9">
        <f t="shared" si="186"/>
        <v>2</v>
      </c>
      <c r="AK120" s="38">
        <f>AVERAGE(AJ$6:AJ120)</f>
        <v>4.9047619047619051</v>
      </c>
      <c r="AL120" s="32">
        <f t="shared" ref="AL120" si="287">SUM(AJ120:AJ127)</f>
        <v>36</v>
      </c>
      <c r="AM120" s="9"/>
      <c r="AN120" s="32">
        <v>14</v>
      </c>
      <c r="AO120" s="9">
        <v>105</v>
      </c>
      <c r="AP120" s="7">
        <v>0.90889349032659084</v>
      </c>
      <c r="AQ120" s="9">
        <f t="shared" si="187"/>
        <v>8</v>
      </c>
      <c r="AR120" s="38">
        <f>AVERAGE(AQ$6:AQ120)</f>
        <v>5.1714285714285717</v>
      </c>
      <c r="AS120" s="32">
        <f t="shared" ref="AS120" si="288">SUM(AQ120:AQ127)</f>
        <v>34</v>
      </c>
      <c r="AT120" s="9"/>
      <c r="AU120" s="32">
        <v>14</v>
      </c>
      <c r="AV120" s="9">
        <v>105</v>
      </c>
      <c r="AW120" s="7">
        <v>0.48248737904941663</v>
      </c>
      <c r="AX120" s="9">
        <f t="shared" si="188"/>
        <v>5</v>
      </c>
      <c r="AY120" s="38">
        <f>AVERAGE(AX$6:AX120)</f>
        <v>4.7714285714285714</v>
      </c>
      <c r="AZ120" s="32">
        <f t="shared" ref="AZ120" si="289">SUM(AX120:AX127)</f>
        <v>44</v>
      </c>
      <c r="BA120" s="9"/>
      <c r="BB120" s="32">
        <v>14</v>
      </c>
      <c r="BC120" s="9">
        <v>105</v>
      </c>
      <c r="BD120" s="7">
        <v>0.26744852281990461</v>
      </c>
      <c r="BE120" s="9">
        <f t="shared" si="189"/>
        <v>4</v>
      </c>
      <c r="BF120" s="38">
        <f>AVERAGE(BE$6:BE120)</f>
        <v>4.7619047619047619</v>
      </c>
      <c r="BG120" s="32">
        <f t="shared" ref="BG120" si="290">SUM(BE120:BE127)</f>
        <v>43</v>
      </c>
      <c r="BH120" s="9"/>
      <c r="BI120" s="32">
        <v>14</v>
      </c>
      <c r="BJ120" s="9">
        <v>105</v>
      </c>
      <c r="BK120" s="7">
        <v>0.74334770697169006</v>
      </c>
      <c r="BL120" s="9">
        <f t="shared" si="190"/>
        <v>6</v>
      </c>
      <c r="BM120" s="38">
        <f>AVERAGE(BL$6:BL120)</f>
        <v>5.2190476190476192</v>
      </c>
      <c r="BN120" s="32">
        <f t="shared" ref="BN120" si="291">SUM(BL120:BL127)</f>
        <v>38</v>
      </c>
      <c r="BO120" s="9"/>
      <c r="BP120" s="32">
        <v>14</v>
      </c>
      <c r="BQ120" s="9">
        <v>105</v>
      </c>
      <c r="BR120" s="7">
        <v>0.10426655656192452</v>
      </c>
      <c r="BS120" s="9">
        <f t="shared" si="191"/>
        <v>2</v>
      </c>
      <c r="BT120" s="38">
        <f>AVERAGE(BS$6:BS120)</f>
        <v>4.8666666666666663</v>
      </c>
      <c r="BU120" s="32">
        <f t="shared" ref="BU120" si="292">SUM(BS120:BS127)</f>
        <v>37</v>
      </c>
      <c r="BV120" s="9"/>
      <c r="BW120" s="32">
        <v>14</v>
      </c>
      <c r="BX120" s="9">
        <v>105</v>
      </c>
      <c r="BY120" s="7">
        <v>0.33793151268037036</v>
      </c>
      <c r="BZ120" s="9">
        <f t="shared" si="192"/>
        <v>4</v>
      </c>
      <c r="CA120" s="38">
        <f>AVERAGE(BZ$6:BZ120)</f>
        <v>4.9142857142857146</v>
      </c>
      <c r="CB120" s="32">
        <f t="shared" ref="CB120" si="293">SUM(BZ120:BZ127)</f>
        <v>34</v>
      </c>
      <c r="CC120" s="9"/>
      <c r="CD120" s="32">
        <v>14</v>
      </c>
      <c r="CE120" s="9">
        <v>105</v>
      </c>
      <c r="CF120" s="7">
        <v>0.34473852708470076</v>
      </c>
      <c r="CG120" s="9">
        <f t="shared" si="193"/>
        <v>4</v>
      </c>
      <c r="CH120" s="38">
        <f>AVERAGE(CG$6:CG120)</f>
        <v>5.0285714285714285</v>
      </c>
      <c r="CI120" s="32">
        <f t="shared" ref="CI120" si="294">SUM(CG120:CG127)</f>
        <v>42</v>
      </c>
      <c r="CJ120" s="9"/>
      <c r="CK120" s="32">
        <v>14</v>
      </c>
      <c r="CL120" s="9">
        <v>105</v>
      </c>
      <c r="CM120" s="7">
        <v>0.39790320114116184</v>
      </c>
      <c r="CN120" s="9">
        <f t="shared" si="194"/>
        <v>4</v>
      </c>
      <c r="CO120" s="38">
        <f>AVERAGE(CN$6:CN120)</f>
        <v>4.6761904761904765</v>
      </c>
      <c r="CP120" s="32">
        <f t="shared" ref="CP120" si="295">SUM(CN120:CN127)</f>
        <v>47</v>
      </c>
      <c r="CQ120" s="9"/>
      <c r="CR120" s="32">
        <v>14</v>
      </c>
      <c r="CS120" s="9">
        <v>105</v>
      </c>
      <c r="CT120" s="7">
        <v>0.51209559667040594</v>
      </c>
      <c r="CU120" s="9">
        <f t="shared" si="195"/>
        <v>5</v>
      </c>
      <c r="CV120" s="38">
        <f>AVERAGE(CU$6:CU120)</f>
        <v>4.9428571428571431</v>
      </c>
      <c r="CW120" s="32">
        <f t="shared" ref="CW120" si="296">SUM(CU120:CU127)</f>
        <v>47</v>
      </c>
      <c r="CX120" s="9"/>
      <c r="CY120" s="32">
        <v>14</v>
      </c>
      <c r="CZ120" s="9">
        <v>105</v>
      </c>
      <c r="DA120" s="7">
        <v>0.75305472643231042</v>
      </c>
      <c r="DB120" s="9">
        <f t="shared" si="196"/>
        <v>6</v>
      </c>
      <c r="DC120" s="38">
        <f>AVERAGE(DB$6:DB120)</f>
        <v>5.0952380952380949</v>
      </c>
      <c r="DD120" s="32">
        <f t="shared" ref="DD120" si="297">SUM(DB120:DB127)</f>
        <v>37</v>
      </c>
      <c r="DE120" s="9"/>
      <c r="DF120" s="32">
        <v>14</v>
      </c>
      <c r="DG120" s="9">
        <v>105</v>
      </c>
      <c r="DH120" s="7">
        <v>7.0231484540272504E-2</v>
      </c>
      <c r="DI120" s="9">
        <f t="shared" si="197"/>
        <v>2</v>
      </c>
      <c r="DJ120" s="38">
        <f>AVERAGE(DI$6:DI120)</f>
        <v>5.2190476190476192</v>
      </c>
      <c r="DK120" s="32">
        <f t="shared" ref="DK120" si="298">SUM(DI120:DI127)</f>
        <v>38</v>
      </c>
      <c r="DL120" s="9"/>
      <c r="DM120" s="32">
        <v>14</v>
      </c>
      <c r="DN120" s="9">
        <v>105</v>
      </c>
      <c r="DO120" s="7">
        <v>0.80045207618968561</v>
      </c>
      <c r="DP120" s="9">
        <f t="shared" si="198"/>
        <v>7</v>
      </c>
      <c r="DQ120" s="38">
        <f>AVERAGE(DP$6:DP120)</f>
        <v>5.2095238095238097</v>
      </c>
      <c r="DR120" s="32">
        <f t="shared" ref="DR120" si="299">SUM(DP120:DP127)</f>
        <v>41</v>
      </c>
      <c r="DS120" s="9"/>
      <c r="DT120" s="32">
        <v>14</v>
      </c>
      <c r="DU120" s="9">
        <v>105</v>
      </c>
      <c r="DV120" s="7">
        <v>0.41988377951201983</v>
      </c>
      <c r="DW120" s="9">
        <f t="shared" si="199"/>
        <v>4</v>
      </c>
      <c r="DX120" s="38">
        <f>AVERAGE(DW$6:DW120)</f>
        <v>5.0095238095238095</v>
      </c>
      <c r="DY120" s="32">
        <f t="shared" ref="DY120" si="300">SUM(DW120:DW127)</f>
        <v>45</v>
      </c>
      <c r="DZ120" s="9"/>
      <c r="EA120" s="32">
        <v>14</v>
      </c>
      <c r="EB120" s="9">
        <v>105</v>
      </c>
      <c r="EC120" s="7">
        <v>0.36985451867803931</v>
      </c>
      <c r="ED120" s="9">
        <f t="shared" si="200"/>
        <v>4</v>
      </c>
      <c r="EE120" s="38">
        <f>AVERAGE(ED$6:ED120)</f>
        <v>4.5619047619047617</v>
      </c>
      <c r="EF120" s="32">
        <f t="shared" ref="EF120" si="301">SUM(ED120:ED127)</f>
        <v>41</v>
      </c>
      <c r="EG120" s="9"/>
      <c r="EH120" s="32">
        <v>14</v>
      </c>
      <c r="EI120" s="9">
        <v>105</v>
      </c>
      <c r="EJ120" s="7">
        <v>0.24910685981740244</v>
      </c>
      <c r="EK120" s="9">
        <f t="shared" si="201"/>
        <v>3</v>
      </c>
      <c r="EL120" s="38">
        <f>AVERAGE(EK$6:EK120)</f>
        <v>5.0857142857142854</v>
      </c>
      <c r="EM120" s="32">
        <f t="shared" ref="EM120" si="302">SUM(EK120:EK127)</f>
        <v>48</v>
      </c>
      <c r="EN120" s="9"/>
      <c r="EO120" s="32">
        <v>14</v>
      </c>
      <c r="EP120" s="9">
        <v>105</v>
      </c>
      <c r="EQ120" s="7">
        <v>0.79991588823031634</v>
      </c>
      <c r="ER120" s="9">
        <f t="shared" si="202"/>
        <v>7</v>
      </c>
      <c r="ES120" s="38">
        <f>AVERAGE(ER$6:ER120)</f>
        <v>5.1142857142857139</v>
      </c>
      <c r="ET120" s="32">
        <f t="shared" ref="ET120" si="303">SUM(ER120:ER127)</f>
        <v>43</v>
      </c>
    </row>
    <row r="121" spans="5:150" x14ac:dyDescent="0.25">
      <c r="E121" s="7"/>
      <c r="L121" s="32"/>
      <c r="M121" s="9">
        <v>106</v>
      </c>
      <c r="N121" s="7">
        <v>0.78457369390525855</v>
      </c>
      <c r="O121" s="9">
        <f t="shared" si="203"/>
        <v>7</v>
      </c>
      <c r="P121" s="38">
        <f>AVERAGE(O$6:O121)</f>
        <v>5.0566037735849054</v>
      </c>
      <c r="Q121" s="32"/>
      <c r="R121" s="9"/>
      <c r="S121" s="32"/>
      <c r="T121" s="9">
        <v>106</v>
      </c>
      <c r="U121" s="7">
        <v>0.70236584494705312</v>
      </c>
      <c r="V121" s="9">
        <f t="shared" si="184"/>
        <v>6</v>
      </c>
      <c r="W121" s="38">
        <f>AVERAGE(V$6:V121)</f>
        <v>4.9150943396226419</v>
      </c>
      <c r="X121" s="32"/>
      <c r="Y121" s="9"/>
      <c r="Z121" s="32"/>
      <c r="AA121" s="9">
        <v>106</v>
      </c>
      <c r="AB121" s="7">
        <v>0.36948351751198061</v>
      </c>
      <c r="AC121" s="9">
        <f t="shared" si="185"/>
        <v>4</v>
      </c>
      <c r="AD121" s="38">
        <f>AVERAGE(AC$6:AC121)</f>
        <v>5.0283018867924527</v>
      </c>
      <c r="AE121" s="32"/>
      <c r="AF121" s="9"/>
      <c r="AG121" s="32"/>
      <c r="AH121" s="9">
        <v>106</v>
      </c>
      <c r="AI121" s="7">
        <v>0.2793782135413494</v>
      </c>
      <c r="AJ121" s="9">
        <f t="shared" si="186"/>
        <v>4</v>
      </c>
      <c r="AK121" s="38">
        <f>AVERAGE(AJ$6:AJ121)</f>
        <v>4.8962264150943398</v>
      </c>
      <c r="AL121" s="32"/>
      <c r="AM121" s="9"/>
      <c r="AN121" s="32"/>
      <c r="AO121" s="9">
        <v>106</v>
      </c>
      <c r="AP121" s="7">
        <v>8.0147518223384395E-2</v>
      </c>
      <c r="AQ121" s="9">
        <f t="shared" si="187"/>
        <v>2</v>
      </c>
      <c r="AR121" s="38">
        <f>AVERAGE(AQ$6:AQ121)</f>
        <v>5.1415094339622645</v>
      </c>
      <c r="AS121" s="32"/>
      <c r="AT121" s="9"/>
      <c r="AU121" s="32"/>
      <c r="AV121" s="9">
        <v>106</v>
      </c>
      <c r="AW121" s="7">
        <v>0.48100021047866903</v>
      </c>
      <c r="AX121" s="9">
        <f t="shared" si="188"/>
        <v>5</v>
      </c>
      <c r="AY121" s="38">
        <f>AVERAGE(AX$6:AX121)</f>
        <v>4.7735849056603774</v>
      </c>
      <c r="AZ121" s="32"/>
      <c r="BA121" s="9"/>
      <c r="BB121" s="32"/>
      <c r="BC121" s="9">
        <v>106</v>
      </c>
      <c r="BD121" s="7">
        <v>0.73598925227997825</v>
      </c>
      <c r="BE121" s="9">
        <f t="shared" si="189"/>
        <v>6</v>
      </c>
      <c r="BF121" s="38">
        <f>AVERAGE(BE$6:BE121)</f>
        <v>4.7735849056603774</v>
      </c>
      <c r="BG121" s="32"/>
      <c r="BH121" s="9"/>
      <c r="BI121" s="32"/>
      <c r="BJ121" s="9">
        <v>106</v>
      </c>
      <c r="BK121" s="7">
        <v>0.82406909044948407</v>
      </c>
      <c r="BL121" s="9">
        <f t="shared" si="190"/>
        <v>7</v>
      </c>
      <c r="BM121" s="38">
        <f>AVERAGE(BL$6:BL121)</f>
        <v>5.2358490566037732</v>
      </c>
      <c r="BN121" s="32"/>
      <c r="BO121" s="9"/>
      <c r="BP121" s="32"/>
      <c r="BQ121" s="9">
        <v>106</v>
      </c>
      <c r="BR121" s="7">
        <v>0.69727662942023017</v>
      </c>
      <c r="BS121" s="9">
        <f t="shared" si="191"/>
        <v>6</v>
      </c>
      <c r="BT121" s="38">
        <f>AVERAGE(BS$6:BS121)</f>
        <v>4.8773584905660377</v>
      </c>
      <c r="BU121" s="32"/>
      <c r="BV121" s="9"/>
      <c r="BW121" s="32"/>
      <c r="BX121" s="9">
        <v>106</v>
      </c>
      <c r="BY121" s="7">
        <v>3.4729030419839546E-2</v>
      </c>
      <c r="BZ121" s="9">
        <f t="shared" si="192"/>
        <v>1</v>
      </c>
      <c r="CA121" s="38">
        <f>AVERAGE(BZ$6:BZ121)</f>
        <v>4.8773584905660377</v>
      </c>
      <c r="CB121" s="32"/>
      <c r="CC121" s="9"/>
      <c r="CD121" s="32"/>
      <c r="CE121" s="9">
        <v>106</v>
      </c>
      <c r="CF121" s="7">
        <v>0.54034144864999689</v>
      </c>
      <c r="CG121" s="9">
        <f t="shared" si="193"/>
        <v>5</v>
      </c>
      <c r="CH121" s="38">
        <f>AVERAGE(CG$6:CG121)</f>
        <v>5.0283018867924527</v>
      </c>
      <c r="CI121" s="32"/>
      <c r="CJ121" s="9"/>
      <c r="CK121" s="32"/>
      <c r="CL121" s="9">
        <v>106</v>
      </c>
      <c r="CM121" s="7">
        <v>0.92014858772745356</v>
      </c>
      <c r="CN121" s="9">
        <f t="shared" si="194"/>
        <v>8</v>
      </c>
      <c r="CO121" s="38">
        <f>AVERAGE(CN$6:CN121)</f>
        <v>4.7075471698113205</v>
      </c>
      <c r="CP121" s="32"/>
      <c r="CQ121" s="9"/>
      <c r="CR121" s="32"/>
      <c r="CS121" s="9">
        <v>106</v>
      </c>
      <c r="CT121" s="7">
        <v>0.72923228528816253</v>
      </c>
      <c r="CU121" s="9">
        <f t="shared" si="195"/>
        <v>6</v>
      </c>
      <c r="CV121" s="38">
        <f>AVERAGE(CU$6:CU121)</f>
        <v>4.9528301886792452</v>
      </c>
      <c r="CW121" s="32"/>
      <c r="CX121" s="9"/>
      <c r="CY121" s="32"/>
      <c r="CZ121" s="9">
        <v>106</v>
      </c>
      <c r="DA121" s="7">
        <v>0.82318411266896874</v>
      </c>
      <c r="DB121" s="9">
        <f t="shared" si="196"/>
        <v>7</v>
      </c>
      <c r="DC121" s="38">
        <f>AVERAGE(DB$6:DB121)</f>
        <v>5.1132075471698117</v>
      </c>
      <c r="DD121" s="32"/>
      <c r="DE121" s="9"/>
      <c r="DF121" s="32"/>
      <c r="DG121" s="9">
        <v>106</v>
      </c>
      <c r="DH121" s="7">
        <v>0.16921453826944344</v>
      </c>
      <c r="DI121" s="9">
        <f t="shared" si="197"/>
        <v>3</v>
      </c>
      <c r="DJ121" s="38">
        <f>AVERAGE(DI$6:DI121)</f>
        <v>5.1981132075471699</v>
      </c>
      <c r="DK121" s="32"/>
      <c r="DL121" s="9"/>
      <c r="DM121" s="32"/>
      <c r="DN121" s="9">
        <v>106</v>
      </c>
      <c r="DO121" s="7">
        <v>0.23281923771719448</v>
      </c>
      <c r="DP121" s="9">
        <f t="shared" si="198"/>
        <v>3</v>
      </c>
      <c r="DQ121" s="38">
        <f>AVERAGE(DP$6:DP121)</f>
        <v>5.1886792452830193</v>
      </c>
      <c r="DR121" s="32"/>
      <c r="DS121" s="9"/>
      <c r="DT121" s="32"/>
      <c r="DU121" s="9">
        <v>106</v>
      </c>
      <c r="DV121" s="7">
        <v>0.24014644871931523</v>
      </c>
      <c r="DW121" s="9">
        <f t="shared" si="199"/>
        <v>3</v>
      </c>
      <c r="DX121" s="38">
        <f>AVERAGE(DW$6:DW121)</f>
        <v>4.9905660377358494</v>
      </c>
      <c r="DY121" s="32"/>
      <c r="DZ121" s="9"/>
      <c r="EA121" s="32"/>
      <c r="EB121" s="9">
        <v>106</v>
      </c>
      <c r="EC121" s="7">
        <v>0.4750771192193497</v>
      </c>
      <c r="ED121" s="9">
        <f t="shared" si="200"/>
        <v>5</v>
      </c>
      <c r="EE121" s="38">
        <f>AVERAGE(ED$6:ED121)</f>
        <v>4.5660377358490569</v>
      </c>
      <c r="EF121" s="32"/>
      <c r="EG121" s="9"/>
      <c r="EH121" s="32"/>
      <c r="EI121" s="9">
        <v>106</v>
      </c>
      <c r="EJ121" s="7">
        <v>0.29003280599135906</v>
      </c>
      <c r="EK121" s="9">
        <f t="shared" si="201"/>
        <v>4</v>
      </c>
      <c r="EL121" s="38">
        <f>AVERAGE(EK$6:EK121)</f>
        <v>5.0754716981132075</v>
      </c>
      <c r="EM121" s="32"/>
      <c r="EN121" s="9"/>
      <c r="EO121" s="32"/>
      <c r="EP121" s="9">
        <v>106</v>
      </c>
      <c r="EQ121" s="7">
        <v>0.95668243864201941</v>
      </c>
      <c r="ER121" s="9">
        <f t="shared" si="202"/>
        <v>9</v>
      </c>
      <c r="ES121" s="38">
        <f>AVERAGE(ER$6:ER121)</f>
        <v>5.1509433962264151</v>
      </c>
      <c r="ET121" s="32"/>
    </row>
    <row r="122" spans="5:150" x14ac:dyDescent="0.25">
      <c r="E122" s="7"/>
      <c r="L122" s="32"/>
      <c r="M122" s="9">
        <v>107</v>
      </c>
      <c r="N122" s="7">
        <v>5.5452361237257719E-2</v>
      </c>
      <c r="O122" s="9">
        <f t="shared" si="203"/>
        <v>2</v>
      </c>
      <c r="P122" s="38">
        <f>AVERAGE(O$6:O122)</f>
        <v>5.02803738317757</v>
      </c>
      <c r="Q122" s="32"/>
      <c r="R122" s="9"/>
      <c r="S122" s="32"/>
      <c r="T122" s="9">
        <v>107</v>
      </c>
      <c r="U122" s="7">
        <v>0.71841014776146039</v>
      </c>
      <c r="V122" s="9">
        <f t="shared" si="184"/>
        <v>6</v>
      </c>
      <c r="W122" s="38">
        <f>AVERAGE(V$6:V122)</f>
        <v>4.9252336448598131</v>
      </c>
      <c r="X122" s="32"/>
      <c r="Y122" s="9"/>
      <c r="Z122" s="32"/>
      <c r="AA122" s="9">
        <v>107</v>
      </c>
      <c r="AB122" s="7">
        <v>0.284011518699117</v>
      </c>
      <c r="AC122" s="9">
        <f t="shared" si="185"/>
        <v>4</v>
      </c>
      <c r="AD122" s="38">
        <f>AVERAGE(AC$6:AC122)</f>
        <v>5.018691588785047</v>
      </c>
      <c r="AE122" s="32"/>
      <c r="AF122" s="9"/>
      <c r="AG122" s="32"/>
      <c r="AH122" s="9">
        <v>107</v>
      </c>
      <c r="AI122" s="7">
        <v>0.87977997382404283</v>
      </c>
      <c r="AJ122" s="9">
        <f t="shared" si="186"/>
        <v>8</v>
      </c>
      <c r="AK122" s="38">
        <f>AVERAGE(AJ$6:AJ122)</f>
        <v>4.9252336448598131</v>
      </c>
      <c r="AL122" s="32"/>
      <c r="AM122" s="9"/>
      <c r="AN122" s="32"/>
      <c r="AO122" s="9">
        <v>107</v>
      </c>
      <c r="AP122" s="7">
        <v>0.27597188507206738</v>
      </c>
      <c r="AQ122" s="9">
        <f t="shared" si="187"/>
        <v>4</v>
      </c>
      <c r="AR122" s="38">
        <f>AVERAGE(AQ$6:AQ122)</f>
        <v>5.1308411214953269</v>
      </c>
      <c r="AS122" s="32"/>
      <c r="AT122" s="9"/>
      <c r="AU122" s="32"/>
      <c r="AV122" s="9">
        <v>107</v>
      </c>
      <c r="AW122" s="7">
        <v>0.71510839654365554</v>
      </c>
      <c r="AX122" s="9">
        <f t="shared" si="188"/>
        <v>6</v>
      </c>
      <c r="AY122" s="38">
        <f>AVERAGE(AX$6:AX122)</f>
        <v>4.7850467289719623</v>
      </c>
      <c r="AZ122" s="32"/>
      <c r="BA122" s="9"/>
      <c r="BB122" s="32"/>
      <c r="BC122" s="9">
        <v>107</v>
      </c>
      <c r="BD122" s="7">
        <v>3.4464924217900261E-2</v>
      </c>
      <c r="BE122" s="9">
        <f t="shared" si="189"/>
        <v>1</v>
      </c>
      <c r="BF122" s="38">
        <f>AVERAGE(BE$6:BE122)</f>
        <v>4.7383177570093462</v>
      </c>
      <c r="BG122" s="32"/>
      <c r="BH122" s="9"/>
      <c r="BI122" s="32"/>
      <c r="BJ122" s="9">
        <v>107</v>
      </c>
      <c r="BK122" s="7">
        <v>0.3955815815133974</v>
      </c>
      <c r="BL122" s="9">
        <f t="shared" si="190"/>
        <v>4</v>
      </c>
      <c r="BM122" s="38">
        <f>AVERAGE(BL$6:BL122)</f>
        <v>5.2242990654205608</v>
      </c>
      <c r="BN122" s="32"/>
      <c r="BO122" s="9"/>
      <c r="BP122" s="32"/>
      <c r="BQ122" s="9">
        <v>107</v>
      </c>
      <c r="BR122" s="7">
        <v>9.7464151447638869E-2</v>
      </c>
      <c r="BS122" s="9">
        <f t="shared" si="191"/>
        <v>2</v>
      </c>
      <c r="BT122" s="38">
        <f>AVERAGE(BS$6:BS122)</f>
        <v>4.8504672897196262</v>
      </c>
      <c r="BU122" s="32"/>
      <c r="BV122" s="9"/>
      <c r="BW122" s="32"/>
      <c r="BX122" s="9">
        <v>107</v>
      </c>
      <c r="BY122" s="7">
        <v>0.88545066624647006</v>
      </c>
      <c r="BZ122" s="9">
        <f t="shared" si="192"/>
        <v>8</v>
      </c>
      <c r="CA122" s="38">
        <f>AVERAGE(BZ$6:BZ122)</f>
        <v>4.9065420560747661</v>
      </c>
      <c r="CB122" s="32"/>
      <c r="CC122" s="9"/>
      <c r="CD122" s="32"/>
      <c r="CE122" s="9">
        <v>107</v>
      </c>
      <c r="CF122" s="7">
        <v>0.27584605477750301</v>
      </c>
      <c r="CG122" s="9">
        <f t="shared" si="193"/>
        <v>4</v>
      </c>
      <c r="CH122" s="38">
        <f>AVERAGE(CG$6:CG122)</f>
        <v>5.018691588785047</v>
      </c>
      <c r="CI122" s="32"/>
      <c r="CJ122" s="9"/>
      <c r="CK122" s="32"/>
      <c r="CL122" s="9">
        <v>107</v>
      </c>
      <c r="CM122" s="7">
        <v>0.87652267966768704</v>
      </c>
      <c r="CN122" s="9">
        <f t="shared" si="194"/>
        <v>8</v>
      </c>
      <c r="CO122" s="38">
        <f>AVERAGE(CN$6:CN122)</f>
        <v>4.7383177570093462</v>
      </c>
      <c r="CP122" s="32"/>
      <c r="CQ122" s="9"/>
      <c r="CR122" s="32"/>
      <c r="CS122" s="9">
        <v>107</v>
      </c>
      <c r="CT122" s="7">
        <v>0.55462692343280651</v>
      </c>
      <c r="CU122" s="9">
        <f t="shared" si="195"/>
        <v>5</v>
      </c>
      <c r="CV122" s="38">
        <f>AVERAGE(CU$6:CU122)</f>
        <v>4.9532710280373831</v>
      </c>
      <c r="CW122" s="32"/>
      <c r="CX122" s="9"/>
      <c r="CY122" s="32"/>
      <c r="CZ122" s="9">
        <v>107</v>
      </c>
      <c r="DA122" s="7">
        <v>0.93981802454800345</v>
      </c>
      <c r="DB122" s="9">
        <f t="shared" si="196"/>
        <v>9</v>
      </c>
      <c r="DC122" s="38">
        <f>AVERAGE(DB$6:DB122)</f>
        <v>5.1495327102803738</v>
      </c>
      <c r="DD122" s="32"/>
      <c r="DE122" s="9"/>
      <c r="DF122" s="32"/>
      <c r="DG122" s="9">
        <v>107</v>
      </c>
      <c r="DH122" s="7">
        <v>0.14548720879247412</v>
      </c>
      <c r="DI122" s="9">
        <f t="shared" si="197"/>
        <v>3</v>
      </c>
      <c r="DJ122" s="38">
        <f>AVERAGE(DI$6:DI122)</f>
        <v>5.1775700934579438</v>
      </c>
      <c r="DK122" s="32"/>
      <c r="DL122" s="9"/>
      <c r="DM122" s="32"/>
      <c r="DN122" s="9">
        <v>107</v>
      </c>
      <c r="DO122" s="7">
        <v>0.90190742438426241</v>
      </c>
      <c r="DP122" s="9">
        <f t="shared" si="198"/>
        <v>8</v>
      </c>
      <c r="DQ122" s="38">
        <f>AVERAGE(DP$6:DP122)</f>
        <v>5.2149532710280377</v>
      </c>
      <c r="DR122" s="32"/>
      <c r="DS122" s="9"/>
      <c r="DT122" s="32"/>
      <c r="DU122" s="9">
        <v>107</v>
      </c>
      <c r="DV122" s="7">
        <v>0.67542109047644772</v>
      </c>
      <c r="DW122" s="9">
        <f t="shared" si="199"/>
        <v>6</v>
      </c>
      <c r="DX122" s="38">
        <f>AVERAGE(DW$6:DW122)</f>
        <v>5</v>
      </c>
      <c r="DY122" s="32"/>
      <c r="DZ122" s="9"/>
      <c r="EA122" s="32"/>
      <c r="EB122" s="9">
        <v>107</v>
      </c>
      <c r="EC122" s="7">
        <v>0.66471639799419791</v>
      </c>
      <c r="ED122" s="9">
        <f t="shared" si="200"/>
        <v>6</v>
      </c>
      <c r="EE122" s="38">
        <f>AVERAGE(ED$6:ED122)</f>
        <v>4.5794392523364484</v>
      </c>
      <c r="EF122" s="32"/>
      <c r="EG122" s="9"/>
      <c r="EH122" s="32"/>
      <c r="EI122" s="9">
        <v>107</v>
      </c>
      <c r="EJ122" s="7">
        <v>0.36689508557901718</v>
      </c>
      <c r="EK122" s="9">
        <f t="shared" si="201"/>
        <v>4</v>
      </c>
      <c r="EL122" s="38">
        <f>AVERAGE(EK$6:EK122)</f>
        <v>5.0654205607476639</v>
      </c>
      <c r="EM122" s="32"/>
      <c r="EN122" s="9"/>
      <c r="EO122" s="32"/>
      <c r="EP122" s="9">
        <v>107</v>
      </c>
      <c r="EQ122" s="7">
        <v>0.6914559006690979</v>
      </c>
      <c r="ER122" s="9">
        <f t="shared" si="202"/>
        <v>6</v>
      </c>
      <c r="ES122" s="38">
        <f>AVERAGE(ER$6:ER122)</f>
        <v>5.1588785046728969</v>
      </c>
      <c r="ET122" s="32"/>
    </row>
    <row r="123" spans="5:150" x14ac:dyDescent="0.25">
      <c r="E123" s="7"/>
      <c r="L123" s="32"/>
      <c r="M123" s="9">
        <v>108</v>
      </c>
      <c r="N123" s="7">
        <v>0.55796603721682914</v>
      </c>
      <c r="O123" s="9">
        <f t="shared" si="203"/>
        <v>5</v>
      </c>
      <c r="P123" s="38">
        <f>AVERAGE(O$6:O123)</f>
        <v>5.0277777777777777</v>
      </c>
      <c r="Q123" s="32"/>
      <c r="R123" s="9"/>
      <c r="S123" s="32"/>
      <c r="T123" s="9">
        <v>108</v>
      </c>
      <c r="U123" s="7">
        <v>0.98122609718120657</v>
      </c>
      <c r="V123" s="9">
        <f t="shared" si="184"/>
        <v>10</v>
      </c>
      <c r="W123" s="38">
        <f>AVERAGE(V$6:V123)</f>
        <v>4.9722222222222223</v>
      </c>
      <c r="X123" s="32"/>
      <c r="Y123" s="9"/>
      <c r="Z123" s="32"/>
      <c r="AA123" s="9">
        <v>108</v>
      </c>
      <c r="AB123" s="7">
        <v>0.26593213007436134</v>
      </c>
      <c r="AC123" s="9">
        <f t="shared" si="185"/>
        <v>4</v>
      </c>
      <c r="AD123" s="38">
        <f>AVERAGE(AC$6:AC123)</f>
        <v>5.0092592592592595</v>
      </c>
      <c r="AE123" s="32"/>
      <c r="AF123" s="9"/>
      <c r="AG123" s="32"/>
      <c r="AH123" s="9">
        <v>108</v>
      </c>
      <c r="AI123" s="7">
        <v>8.6686519411159679E-2</v>
      </c>
      <c r="AJ123" s="9">
        <f t="shared" si="186"/>
        <v>2</v>
      </c>
      <c r="AK123" s="38">
        <f>AVERAGE(AJ$6:AJ123)</f>
        <v>4.8981481481481479</v>
      </c>
      <c r="AL123" s="32"/>
      <c r="AM123" s="9"/>
      <c r="AN123" s="32"/>
      <c r="AO123" s="9">
        <v>108</v>
      </c>
      <c r="AP123" s="7">
        <v>0.12552081214380451</v>
      </c>
      <c r="AQ123" s="9">
        <f t="shared" si="187"/>
        <v>3</v>
      </c>
      <c r="AR123" s="38">
        <f>AVERAGE(AQ$6:AQ123)</f>
        <v>5.1111111111111107</v>
      </c>
      <c r="AS123" s="32"/>
      <c r="AT123" s="9"/>
      <c r="AU123" s="32"/>
      <c r="AV123" s="9">
        <v>108</v>
      </c>
      <c r="AW123" s="7">
        <v>0.28082422001170926</v>
      </c>
      <c r="AX123" s="9">
        <f t="shared" si="188"/>
        <v>4</v>
      </c>
      <c r="AY123" s="38">
        <f>AVERAGE(AX$6:AX123)</f>
        <v>4.7777777777777777</v>
      </c>
      <c r="AZ123" s="32"/>
      <c r="BA123" s="9"/>
      <c r="BB123" s="32"/>
      <c r="BC123" s="9">
        <v>108</v>
      </c>
      <c r="BD123" s="7">
        <v>0.74943597224773839</v>
      </c>
      <c r="BE123" s="9">
        <f t="shared" si="189"/>
        <v>6</v>
      </c>
      <c r="BF123" s="38">
        <f>AVERAGE(BE$6:BE123)</f>
        <v>4.75</v>
      </c>
      <c r="BG123" s="32"/>
      <c r="BH123" s="9"/>
      <c r="BI123" s="32"/>
      <c r="BJ123" s="9">
        <v>108</v>
      </c>
      <c r="BK123" s="7">
        <v>0.72451447942876257</v>
      </c>
      <c r="BL123" s="9">
        <f t="shared" si="190"/>
        <v>6</v>
      </c>
      <c r="BM123" s="38">
        <f>AVERAGE(BL$6:BL123)</f>
        <v>5.2314814814814818</v>
      </c>
      <c r="BN123" s="32"/>
      <c r="BO123" s="9"/>
      <c r="BP123" s="32"/>
      <c r="BQ123" s="9">
        <v>108</v>
      </c>
      <c r="BR123" s="7">
        <v>0.19403799556312151</v>
      </c>
      <c r="BS123" s="9">
        <f t="shared" si="191"/>
        <v>3</v>
      </c>
      <c r="BT123" s="38">
        <f>AVERAGE(BS$6:BS123)</f>
        <v>4.833333333333333</v>
      </c>
      <c r="BU123" s="32"/>
      <c r="BV123" s="9"/>
      <c r="BW123" s="32"/>
      <c r="BX123" s="9">
        <v>108</v>
      </c>
      <c r="BY123" s="7">
        <v>7.0931169611867517E-3</v>
      </c>
      <c r="BZ123" s="9">
        <f t="shared" si="192"/>
        <v>1</v>
      </c>
      <c r="CA123" s="38">
        <f>AVERAGE(BZ$6:BZ123)</f>
        <v>4.8703703703703702</v>
      </c>
      <c r="CB123" s="32"/>
      <c r="CC123" s="9"/>
      <c r="CD123" s="32"/>
      <c r="CE123" s="9">
        <v>108</v>
      </c>
      <c r="CF123" s="7">
        <v>6.071821044315584E-2</v>
      </c>
      <c r="CG123" s="9">
        <f t="shared" si="193"/>
        <v>2</v>
      </c>
      <c r="CH123" s="38">
        <f>AVERAGE(CG$6:CG123)</f>
        <v>4.9907407407407405</v>
      </c>
      <c r="CI123" s="32"/>
      <c r="CJ123" s="9"/>
      <c r="CK123" s="32"/>
      <c r="CL123" s="9">
        <v>108</v>
      </c>
      <c r="CM123" s="7">
        <v>0.40918002888793126</v>
      </c>
      <c r="CN123" s="9">
        <f t="shared" si="194"/>
        <v>4</v>
      </c>
      <c r="CO123" s="38">
        <f>AVERAGE(CN$6:CN123)</f>
        <v>4.7314814814814818</v>
      </c>
      <c r="CP123" s="32"/>
      <c r="CQ123" s="9"/>
      <c r="CR123" s="32"/>
      <c r="CS123" s="9">
        <v>108</v>
      </c>
      <c r="CT123" s="7">
        <v>0.63286556792445481</v>
      </c>
      <c r="CU123" s="9">
        <f t="shared" si="195"/>
        <v>6</v>
      </c>
      <c r="CV123" s="38">
        <f>AVERAGE(CU$6:CU123)</f>
        <v>4.9629629629629628</v>
      </c>
      <c r="CW123" s="32"/>
      <c r="CX123" s="9"/>
      <c r="CY123" s="32"/>
      <c r="CZ123" s="9">
        <v>108</v>
      </c>
      <c r="DA123" s="7">
        <v>6.282642250880599E-3</v>
      </c>
      <c r="DB123" s="9">
        <f t="shared" si="196"/>
        <v>0</v>
      </c>
      <c r="DC123" s="38">
        <f>AVERAGE(DB$6:DB123)</f>
        <v>5.1018518518518521</v>
      </c>
      <c r="DD123" s="32"/>
      <c r="DE123" s="9"/>
      <c r="DF123" s="32"/>
      <c r="DG123" s="9">
        <v>108</v>
      </c>
      <c r="DH123" s="7">
        <v>0.92591252815327607</v>
      </c>
      <c r="DI123" s="9">
        <f t="shared" si="197"/>
        <v>8</v>
      </c>
      <c r="DJ123" s="38">
        <f>AVERAGE(DI$6:DI123)</f>
        <v>5.2037037037037033</v>
      </c>
      <c r="DK123" s="32"/>
      <c r="DL123" s="9"/>
      <c r="DM123" s="32"/>
      <c r="DN123" s="9">
        <v>108</v>
      </c>
      <c r="DO123" s="7">
        <v>0.48232355792424642</v>
      </c>
      <c r="DP123" s="9">
        <f t="shared" si="198"/>
        <v>5</v>
      </c>
      <c r="DQ123" s="38">
        <f>AVERAGE(DP$6:DP123)</f>
        <v>5.2129629629629628</v>
      </c>
      <c r="DR123" s="32"/>
      <c r="DS123" s="9"/>
      <c r="DT123" s="32"/>
      <c r="DU123" s="9">
        <v>108</v>
      </c>
      <c r="DV123" s="7">
        <v>0.84186159539967775</v>
      </c>
      <c r="DW123" s="9">
        <f t="shared" si="199"/>
        <v>7</v>
      </c>
      <c r="DX123" s="38">
        <f>AVERAGE(DW$6:DW123)</f>
        <v>5.0185185185185182</v>
      </c>
      <c r="DY123" s="32"/>
      <c r="DZ123" s="9"/>
      <c r="EA123" s="32"/>
      <c r="EB123" s="9">
        <v>108</v>
      </c>
      <c r="EC123" s="7">
        <v>0.32894496704102494</v>
      </c>
      <c r="ED123" s="9">
        <f t="shared" si="200"/>
        <v>4</v>
      </c>
      <c r="EE123" s="38">
        <f>AVERAGE(ED$6:ED123)</f>
        <v>4.5740740740740744</v>
      </c>
      <c r="EF123" s="32"/>
      <c r="EG123" s="9"/>
      <c r="EH123" s="32"/>
      <c r="EI123" s="9">
        <v>108</v>
      </c>
      <c r="EJ123" s="7">
        <v>0.9509690732229501</v>
      </c>
      <c r="EK123" s="9">
        <f t="shared" si="201"/>
        <v>9</v>
      </c>
      <c r="EL123" s="38">
        <f>AVERAGE(EK$6:EK123)</f>
        <v>5.1018518518518521</v>
      </c>
      <c r="EM123" s="32"/>
      <c r="EN123" s="9"/>
      <c r="EO123" s="32"/>
      <c r="EP123" s="9">
        <v>108</v>
      </c>
      <c r="EQ123" s="7">
        <v>9.9788844614522532E-2</v>
      </c>
      <c r="ER123" s="9">
        <f t="shared" si="202"/>
        <v>2</v>
      </c>
      <c r="ES123" s="38">
        <f>AVERAGE(ER$6:ER123)</f>
        <v>5.1296296296296298</v>
      </c>
      <c r="ET123" s="32"/>
    </row>
    <row r="124" spans="5:150" x14ac:dyDescent="0.25">
      <c r="E124" s="7"/>
      <c r="L124" s="32"/>
      <c r="M124" s="9">
        <v>109</v>
      </c>
      <c r="N124" s="7">
        <v>0.35250916669610888</v>
      </c>
      <c r="O124" s="9">
        <f t="shared" si="203"/>
        <v>4</v>
      </c>
      <c r="P124" s="38">
        <f>AVERAGE(O$6:O124)</f>
        <v>5.0183486238532113</v>
      </c>
      <c r="Q124" s="32"/>
      <c r="R124" s="9"/>
      <c r="S124" s="32"/>
      <c r="T124" s="9">
        <v>109</v>
      </c>
      <c r="U124" s="7">
        <v>0.3314400483504869</v>
      </c>
      <c r="V124" s="9">
        <f t="shared" si="184"/>
        <v>4</v>
      </c>
      <c r="W124" s="38">
        <f>AVERAGE(V$6:V124)</f>
        <v>4.9633027522935782</v>
      </c>
      <c r="X124" s="32"/>
      <c r="Y124" s="9"/>
      <c r="Z124" s="32"/>
      <c r="AA124" s="9">
        <v>109</v>
      </c>
      <c r="AB124" s="7">
        <v>0.95504698832519352</v>
      </c>
      <c r="AC124" s="9">
        <f t="shared" si="185"/>
        <v>9</v>
      </c>
      <c r="AD124" s="38">
        <f>AVERAGE(AC$6:AC124)</f>
        <v>5.0458715596330279</v>
      </c>
      <c r="AE124" s="32"/>
      <c r="AF124" s="9"/>
      <c r="AG124" s="32"/>
      <c r="AH124" s="9">
        <v>109</v>
      </c>
      <c r="AI124" s="7">
        <v>0.64355749677633867</v>
      </c>
      <c r="AJ124" s="9">
        <f t="shared" si="186"/>
        <v>6</v>
      </c>
      <c r="AK124" s="38">
        <f>AVERAGE(AJ$6:AJ124)</f>
        <v>4.9082568807339451</v>
      </c>
      <c r="AL124" s="32"/>
      <c r="AM124" s="9"/>
      <c r="AN124" s="32"/>
      <c r="AO124" s="9">
        <v>109</v>
      </c>
      <c r="AP124" s="7">
        <v>0.64321825408842415</v>
      </c>
      <c r="AQ124" s="9">
        <f t="shared" si="187"/>
        <v>6</v>
      </c>
      <c r="AR124" s="38">
        <f>AVERAGE(AQ$6:AQ124)</f>
        <v>5.1192660550458715</v>
      </c>
      <c r="AS124" s="32"/>
      <c r="AT124" s="9"/>
      <c r="AU124" s="32"/>
      <c r="AV124" s="9">
        <v>109</v>
      </c>
      <c r="AW124" s="7">
        <v>0.62447330605937168</v>
      </c>
      <c r="AX124" s="9">
        <f t="shared" si="188"/>
        <v>6</v>
      </c>
      <c r="AY124" s="38">
        <f>AVERAGE(AX$6:AX124)</f>
        <v>4.7889908256880735</v>
      </c>
      <c r="AZ124" s="32"/>
      <c r="BA124" s="9"/>
      <c r="BB124" s="32"/>
      <c r="BC124" s="9">
        <v>109</v>
      </c>
      <c r="BD124" s="7">
        <v>0.95952570761437528</v>
      </c>
      <c r="BE124" s="9">
        <f t="shared" si="189"/>
        <v>9</v>
      </c>
      <c r="BF124" s="38">
        <f>AVERAGE(BE$6:BE124)</f>
        <v>4.7889908256880735</v>
      </c>
      <c r="BG124" s="32"/>
      <c r="BH124" s="9"/>
      <c r="BI124" s="32"/>
      <c r="BJ124" s="9">
        <v>109</v>
      </c>
      <c r="BK124" s="7">
        <v>0.12495690584182739</v>
      </c>
      <c r="BL124" s="9">
        <f t="shared" si="190"/>
        <v>3</v>
      </c>
      <c r="BM124" s="38">
        <f>AVERAGE(BL$6:BL124)</f>
        <v>5.2110091743119265</v>
      </c>
      <c r="BN124" s="32"/>
      <c r="BO124" s="9"/>
      <c r="BP124" s="32"/>
      <c r="BQ124" s="9">
        <v>109</v>
      </c>
      <c r="BR124" s="7">
        <v>0.92956771503668278</v>
      </c>
      <c r="BS124" s="9">
        <f t="shared" si="191"/>
        <v>8</v>
      </c>
      <c r="BT124" s="38">
        <f>AVERAGE(BS$6:BS124)</f>
        <v>4.8623853211009171</v>
      </c>
      <c r="BU124" s="32"/>
      <c r="BV124" s="9"/>
      <c r="BW124" s="32"/>
      <c r="BX124" s="9">
        <v>109</v>
      </c>
      <c r="BY124" s="7">
        <v>0.65295523504028097</v>
      </c>
      <c r="BZ124" s="9">
        <f t="shared" si="192"/>
        <v>6</v>
      </c>
      <c r="CA124" s="38">
        <f>AVERAGE(BZ$6:BZ124)</f>
        <v>4.8807339449541285</v>
      </c>
      <c r="CB124" s="32"/>
      <c r="CC124" s="9"/>
      <c r="CD124" s="32"/>
      <c r="CE124" s="9">
        <v>109</v>
      </c>
      <c r="CF124" s="7">
        <v>0.26987837825436145</v>
      </c>
      <c r="CG124" s="9">
        <f t="shared" si="193"/>
        <v>4</v>
      </c>
      <c r="CH124" s="38">
        <f>AVERAGE(CG$6:CG124)</f>
        <v>4.9816513761467887</v>
      </c>
      <c r="CI124" s="32"/>
      <c r="CJ124" s="9"/>
      <c r="CK124" s="32"/>
      <c r="CL124" s="9">
        <v>109</v>
      </c>
      <c r="CM124" s="7">
        <v>0.72771487731370144</v>
      </c>
      <c r="CN124" s="9">
        <f t="shared" si="194"/>
        <v>6</v>
      </c>
      <c r="CO124" s="38">
        <f>AVERAGE(CN$6:CN124)</f>
        <v>4.7431192660550456</v>
      </c>
      <c r="CP124" s="32"/>
      <c r="CQ124" s="9"/>
      <c r="CR124" s="32"/>
      <c r="CS124" s="9">
        <v>109</v>
      </c>
      <c r="CT124" s="7">
        <v>0.92576748112333007</v>
      </c>
      <c r="CU124" s="9">
        <f t="shared" si="195"/>
        <v>8</v>
      </c>
      <c r="CV124" s="38">
        <f>AVERAGE(CU$6:CU124)</f>
        <v>4.9908256880733948</v>
      </c>
      <c r="CW124" s="32"/>
      <c r="CX124" s="9"/>
      <c r="CY124" s="32"/>
      <c r="CZ124" s="9">
        <v>109</v>
      </c>
      <c r="DA124" s="7">
        <v>0.23556075923261233</v>
      </c>
      <c r="DB124" s="9">
        <f t="shared" si="196"/>
        <v>3</v>
      </c>
      <c r="DC124" s="38">
        <f>AVERAGE(DB$6:DB124)</f>
        <v>5.0825688073394497</v>
      </c>
      <c r="DD124" s="32"/>
      <c r="DE124" s="9"/>
      <c r="DF124" s="32"/>
      <c r="DG124" s="9">
        <v>109</v>
      </c>
      <c r="DH124" s="7">
        <v>0.84495199896628037</v>
      </c>
      <c r="DI124" s="9">
        <f t="shared" si="197"/>
        <v>7</v>
      </c>
      <c r="DJ124" s="38">
        <f>AVERAGE(DI$6:DI124)</f>
        <v>5.2201834862385317</v>
      </c>
      <c r="DK124" s="32"/>
      <c r="DL124" s="9"/>
      <c r="DM124" s="32"/>
      <c r="DN124" s="9">
        <v>109</v>
      </c>
      <c r="DO124" s="7">
        <v>0.39663233101600781</v>
      </c>
      <c r="DP124" s="9">
        <f t="shared" si="198"/>
        <v>4</v>
      </c>
      <c r="DQ124" s="38">
        <f>AVERAGE(DP$6:DP124)</f>
        <v>5.2018348623853212</v>
      </c>
      <c r="DR124" s="32"/>
      <c r="DS124" s="9"/>
      <c r="DT124" s="32"/>
      <c r="DU124" s="9">
        <v>109</v>
      </c>
      <c r="DV124" s="7">
        <v>0.55872163086314686</v>
      </c>
      <c r="DW124" s="9">
        <f t="shared" si="199"/>
        <v>5</v>
      </c>
      <c r="DX124" s="38">
        <f>AVERAGE(DW$6:DW124)</f>
        <v>5.0183486238532113</v>
      </c>
      <c r="DY124" s="32"/>
      <c r="DZ124" s="9"/>
      <c r="EA124" s="32"/>
      <c r="EB124" s="9">
        <v>109</v>
      </c>
      <c r="EC124" s="7">
        <v>0.40665802615694702</v>
      </c>
      <c r="ED124" s="9">
        <f t="shared" si="200"/>
        <v>4</v>
      </c>
      <c r="EE124" s="38">
        <f>AVERAGE(ED$6:ED124)</f>
        <v>4.568807339449541</v>
      </c>
      <c r="EF124" s="32"/>
      <c r="EG124" s="9"/>
      <c r="EH124" s="32"/>
      <c r="EI124" s="9">
        <v>109</v>
      </c>
      <c r="EJ124" s="7">
        <v>0.74907270984840579</v>
      </c>
      <c r="EK124" s="9">
        <f t="shared" si="201"/>
        <v>6</v>
      </c>
      <c r="EL124" s="38">
        <f>AVERAGE(EK$6:EK124)</f>
        <v>5.1100917431192663</v>
      </c>
      <c r="EM124" s="32"/>
      <c r="EN124" s="9"/>
      <c r="EO124" s="32"/>
      <c r="EP124" s="9">
        <v>109</v>
      </c>
      <c r="EQ124" s="7">
        <v>0.39125497650820762</v>
      </c>
      <c r="ER124" s="9">
        <f t="shared" si="202"/>
        <v>4</v>
      </c>
      <c r="ES124" s="38">
        <f>AVERAGE(ER$6:ER124)</f>
        <v>5.1192660550458715</v>
      </c>
      <c r="ET124" s="32"/>
    </row>
    <row r="125" spans="5:150" x14ac:dyDescent="0.25">
      <c r="E125" s="7"/>
      <c r="L125" s="32"/>
      <c r="M125" s="9">
        <v>110</v>
      </c>
      <c r="N125" s="7">
        <v>0.54222084852517582</v>
      </c>
      <c r="O125" s="9">
        <f t="shared" si="203"/>
        <v>5</v>
      </c>
      <c r="P125" s="38">
        <f>AVERAGE(O$6:O125)</f>
        <v>5.0181818181818185</v>
      </c>
      <c r="Q125" s="32"/>
      <c r="R125" s="9"/>
      <c r="S125" s="32"/>
      <c r="T125" s="9">
        <v>110</v>
      </c>
      <c r="U125" s="7">
        <v>0.69162490052985959</v>
      </c>
      <c r="V125" s="9">
        <f t="shared" si="184"/>
        <v>6</v>
      </c>
      <c r="W125" s="38">
        <f>AVERAGE(V$6:V125)</f>
        <v>4.9727272727272727</v>
      </c>
      <c r="X125" s="32"/>
      <c r="Y125" s="9"/>
      <c r="Z125" s="32"/>
      <c r="AA125" s="9">
        <v>110</v>
      </c>
      <c r="AB125" s="7">
        <v>0.84919898750376888</v>
      </c>
      <c r="AC125" s="9">
        <f t="shared" si="185"/>
        <v>7</v>
      </c>
      <c r="AD125" s="38">
        <f>AVERAGE(AC$6:AC125)</f>
        <v>5.0636363636363635</v>
      </c>
      <c r="AE125" s="32"/>
      <c r="AF125" s="9"/>
      <c r="AG125" s="32"/>
      <c r="AH125" s="9">
        <v>110</v>
      </c>
      <c r="AI125" s="7">
        <v>0.43211083984351717</v>
      </c>
      <c r="AJ125" s="9">
        <f t="shared" si="186"/>
        <v>4</v>
      </c>
      <c r="AK125" s="38">
        <f>AVERAGE(AJ$6:AJ125)</f>
        <v>4.9000000000000004</v>
      </c>
      <c r="AL125" s="32"/>
      <c r="AM125" s="9"/>
      <c r="AN125" s="32"/>
      <c r="AO125" s="9">
        <v>110</v>
      </c>
      <c r="AP125" s="7">
        <v>0.25740085556753911</v>
      </c>
      <c r="AQ125" s="9">
        <f t="shared" si="187"/>
        <v>3</v>
      </c>
      <c r="AR125" s="38">
        <f>AVERAGE(AQ$6:AQ125)</f>
        <v>5.0999999999999996</v>
      </c>
      <c r="AS125" s="32"/>
      <c r="AT125" s="9"/>
      <c r="AU125" s="32"/>
      <c r="AV125" s="9">
        <v>110</v>
      </c>
      <c r="AW125" s="7">
        <v>0.60375262060551904</v>
      </c>
      <c r="AX125" s="9">
        <f t="shared" si="188"/>
        <v>5</v>
      </c>
      <c r="AY125" s="38">
        <f>AVERAGE(AX$6:AX125)</f>
        <v>4.790909090909091</v>
      </c>
      <c r="AZ125" s="32"/>
      <c r="BA125" s="9"/>
      <c r="BB125" s="32"/>
      <c r="BC125" s="9">
        <v>110</v>
      </c>
      <c r="BD125" s="7">
        <v>0.15573942143237218</v>
      </c>
      <c r="BE125" s="9">
        <f t="shared" si="189"/>
        <v>3</v>
      </c>
      <c r="BF125" s="38">
        <f>AVERAGE(BE$6:BE125)</f>
        <v>4.7727272727272725</v>
      </c>
      <c r="BG125" s="32"/>
      <c r="BH125" s="9"/>
      <c r="BI125" s="32"/>
      <c r="BJ125" s="9">
        <v>110</v>
      </c>
      <c r="BK125" s="7">
        <v>0.35280650857021101</v>
      </c>
      <c r="BL125" s="9">
        <f t="shared" si="190"/>
        <v>4</v>
      </c>
      <c r="BM125" s="38">
        <f>AVERAGE(BL$6:BL125)</f>
        <v>5.2</v>
      </c>
      <c r="BN125" s="32"/>
      <c r="BO125" s="9"/>
      <c r="BP125" s="32"/>
      <c r="BQ125" s="9">
        <v>110</v>
      </c>
      <c r="BR125" s="7">
        <v>0.72737324392073788</v>
      </c>
      <c r="BS125" s="9">
        <f t="shared" si="191"/>
        <v>6</v>
      </c>
      <c r="BT125" s="38">
        <f>AVERAGE(BS$6:BS125)</f>
        <v>4.872727272727273</v>
      </c>
      <c r="BU125" s="32"/>
      <c r="BV125" s="9"/>
      <c r="BW125" s="32"/>
      <c r="BX125" s="9">
        <v>110</v>
      </c>
      <c r="BY125" s="7">
        <v>0.27194604577380233</v>
      </c>
      <c r="BZ125" s="9">
        <f t="shared" si="192"/>
        <v>4</v>
      </c>
      <c r="CA125" s="38">
        <f>AVERAGE(BZ$6:BZ125)</f>
        <v>4.872727272727273</v>
      </c>
      <c r="CB125" s="32"/>
      <c r="CC125" s="9"/>
      <c r="CD125" s="32"/>
      <c r="CE125" s="9">
        <v>110</v>
      </c>
      <c r="CF125" s="7">
        <v>0.98736480102525093</v>
      </c>
      <c r="CG125" s="9">
        <f t="shared" si="193"/>
        <v>11</v>
      </c>
      <c r="CH125" s="38">
        <f>AVERAGE(CG$6:CG125)</f>
        <v>5.0363636363636362</v>
      </c>
      <c r="CI125" s="32"/>
      <c r="CJ125" s="9"/>
      <c r="CK125" s="32"/>
      <c r="CL125" s="9">
        <v>110</v>
      </c>
      <c r="CM125" s="7">
        <v>0.77316181658534333</v>
      </c>
      <c r="CN125" s="9">
        <f t="shared" si="194"/>
        <v>7</v>
      </c>
      <c r="CO125" s="38">
        <f>AVERAGE(CN$6:CN125)</f>
        <v>4.7636363636363637</v>
      </c>
      <c r="CP125" s="32"/>
      <c r="CQ125" s="9"/>
      <c r="CR125" s="32"/>
      <c r="CS125" s="9">
        <v>110</v>
      </c>
      <c r="CT125" s="7">
        <v>0.77025277854409069</v>
      </c>
      <c r="CU125" s="9">
        <f t="shared" si="195"/>
        <v>7</v>
      </c>
      <c r="CV125" s="38">
        <f>AVERAGE(CU$6:CU125)</f>
        <v>5.0090909090909088</v>
      </c>
      <c r="CW125" s="32"/>
      <c r="CX125" s="9"/>
      <c r="CY125" s="32"/>
      <c r="CZ125" s="9">
        <v>110</v>
      </c>
      <c r="DA125" s="7">
        <v>0.3137910048244521</v>
      </c>
      <c r="DB125" s="9">
        <f t="shared" si="196"/>
        <v>4</v>
      </c>
      <c r="DC125" s="38">
        <f>AVERAGE(DB$6:DB125)</f>
        <v>5.0727272727272723</v>
      </c>
      <c r="DD125" s="32"/>
      <c r="DE125" s="9"/>
      <c r="DF125" s="32"/>
      <c r="DG125" s="9">
        <v>110</v>
      </c>
      <c r="DH125" s="7">
        <v>0.15027946766349487</v>
      </c>
      <c r="DI125" s="9">
        <f t="shared" si="197"/>
        <v>3</v>
      </c>
      <c r="DJ125" s="38">
        <f>AVERAGE(DI$6:DI125)</f>
        <v>5.2</v>
      </c>
      <c r="DK125" s="32"/>
      <c r="DL125" s="9"/>
      <c r="DM125" s="32"/>
      <c r="DN125" s="9">
        <v>110</v>
      </c>
      <c r="DO125" s="7">
        <v>0.26565047327312641</v>
      </c>
      <c r="DP125" s="9">
        <f t="shared" si="198"/>
        <v>4</v>
      </c>
      <c r="DQ125" s="38">
        <f>AVERAGE(DP$6:DP125)</f>
        <v>5.1909090909090905</v>
      </c>
      <c r="DR125" s="32"/>
      <c r="DS125" s="9"/>
      <c r="DT125" s="32"/>
      <c r="DU125" s="9">
        <v>110</v>
      </c>
      <c r="DV125" s="7">
        <v>0.74163989454973489</v>
      </c>
      <c r="DW125" s="9">
        <f t="shared" si="199"/>
        <v>6</v>
      </c>
      <c r="DX125" s="38">
        <f>AVERAGE(DW$6:DW125)</f>
        <v>5.0272727272727273</v>
      </c>
      <c r="DY125" s="32"/>
      <c r="DZ125" s="9"/>
      <c r="EA125" s="32"/>
      <c r="EB125" s="9">
        <v>110</v>
      </c>
      <c r="EC125" s="7">
        <v>0.42888347085681744</v>
      </c>
      <c r="ED125" s="9">
        <f t="shared" si="200"/>
        <v>4</v>
      </c>
      <c r="EE125" s="38">
        <f>AVERAGE(ED$6:ED125)</f>
        <v>4.5636363636363635</v>
      </c>
      <c r="EF125" s="32"/>
      <c r="EG125" s="9"/>
      <c r="EH125" s="32"/>
      <c r="EI125" s="9">
        <v>110</v>
      </c>
      <c r="EJ125" s="7">
        <v>0.77244557195808738</v>
      </c>
      <c r="EK125" s="9">
        <f t="shared" si="201"/>
        <v>7</v>
      </c>
      <c r="EL125" s="38">
        <f>AVERAGE(EK$6:EK125)</f>
        <v>5.127272727272727</v>
      </c>
      <c r="EM125" s="32"/>
      <c r="EN125" s="9"/>
      <c r="EO125" s="32"/>
      <c r="EP125" s="9">
        <v>110</v>
      </c>
      <c r="EQ125" s="7">
        <v>0.49631290175602771</v>
      </c>
      <c r="ER125" s="9">
        <f t="shared" si="202"/>
        <v>5</v>
      </c>
      <c r="ES125" s="38">
        <f>AVERAGE(ER$6:ER125)</f>
        <v>5.1181818181818182</v>
      </c>
      <c r="ET125" s="32"/>
    </row>
    <row r="126" spans="5:150" x14ac:dyDescent="0.25">
      <c r="E126" s="7"/>
      <c r="L126" s="32"/>
      <c r="M126" s="9">
        <v>111</v>
      </c>
      <c r="N126" s="7">
        <v>0.24373699049465358</v>
      </c>
      <c r="O126" s="9">
        <f t="shared" si="203"/>
        <v>3</v>
      </c>
      <c r="P126" s="38">
        <f>AVERAGE(O$6:O126)</f>
        <v>5</v>
      </c>
      <c r="Q126" s="32"/>
      <c r="R126" s="9"/>
      <c r="S126" s="32"/>
      <c r="T126" s="9">
        <v>111</v>
      </c>
      <c r="U126" s="7">
        <v>0.18682377290679142</v>
      </c>
      <c r="V126" s="9">
        <f t="shared" si="184"/>
        <v>3</v>
      </c>
      <c r="W126" s="38">
        <f>AVERAGE(V$6:V126)</f>
        <v>4.954954954954955</v>
      </c>
      <c r="X126" s="32"/>
      <c r="Y126" s="9"/>
      <c r="Z126" s="32"/>
      <c r="AA126" s="9">
        <v>111</v>
      </c>
      <c r="AB126" s="7">
        <v>0.33747856447007507</v>
      </c>
      <c r="AC126" s="9">
        <f t="shared" si="185"/>
        <v>4</v>
      </c>
      <c r="AD126" s="38">
        <f>AVERAGE(AC$6:AC126)</f>
        <v>5.0540540540540544</v>
      </c>
      <c r="AE126" s="32"/>
      <c r="AF126" s="9"/>
      <c r="AG126" s="32"/>
      <c r="AH126" s="9">
        <v>111</v>
      </c>
      <c r="AI126" s="7">
        <v>0.53708251944044605</v>
      </c>
      <c r="AJ126" s="9">
        <f t="shared" si="186"/>
        <v>5</v>
      </c>
      <c r="AK126" s="38">
        <f>AVERAGE(AJ$6:AJ126)</f>
        <v>4.9009009009009006</v>
      </c>
      <c r="AL126" s="32"/>
      <c r="AM126" s="9"/>
      <c r="AN126" s="32"/>
      <c r="AO126" s="9">
        <v>111</v>
      </c>
      <c r="AP126" s="7">
        <v>0.56144061731174588</v>
      </c>
      <c r="AQ126" s="9">
        <f t="shared" si="187"/>
        <v>5</v>
      </c>
      <c r="AR126" s="38">
        <f>AVERAGE(AQ$6:AQ126)</f>
        <v>5.0990990990990994</v>
      </c>
      <c r="AS126" s="32"/>
      <c r="AT126" s="9"/>
      <c r="AU126" s="32"/>
      <c r="AV126" s="9">
        <v>111</v>
      </c>
      <c r="AW126" s="7">
        <v>0.93259961187141016</v>
      </c>
      <c r="AX126" s="9">
        <f t="shared" si="188"/>
        <v>9</v>
      </c>
      <c r="AY126" s="38">
        <f>AVERAGE(AX$6:AX126)</f>
        <v>4.8288288288288292</v>
      </c>
      <c r="AZ126" s="32"/>
      <c r="BA126" s="9"/>
      <c r="BB126" s="32"/>
      <c r="BC126" s="9">
        <v>111</v>
      </c>
      <c r="BD126" s="7">
        <v>0.20580203770077787</v>
      </c>
      <c r="BE126" s="9">
        <f t="shared" si="189"/>
        <v>3</v>
      </c>
      <c r="BF126" s="38">
        <f>AVERAGE(BE$6:BE126)</f>
        <v>4.756756756756757</v>
      </c>
      <c r="BG126" s="32"/>
      <c r="BH126" s="9"/>
      <c r="BI126" s="32"/>
      <c r="BJ126" s="9">
        <v>111</v>
      </c>
      <c r="BK126" s="7">
        <v>0.69535191368777305</v>
      </c>
      <c r="BL126" s="9">
        <f t="shared" si="190"/>
        <v>6</v>
      </c>
      <c r="BM126" s="38">
        <f>AVERAGE(BL$6:BL126)</f>
        <v>5.2072072072072073</v>
      </c>
      <c r="BN126" s="32"/>
      <c r="BO126" s="9"/>
      <c r="BP126" s="32"/>
      <c r="BQ126" s="9">
        <v>111</v>
      </c>
      <c r="BR126" s="7">
        <v>0.59722061920911074</v>
      </c>
      <c r="BS126" s="9">
        <f t="shared" si="191"/>
        <v>5</v>
      </c>
      <c r="BT126" s="38">
        <f>AVERAGE(BS$6:BS126)</f>
        <v>4.8738738738738743</v>
      </c>
      <c r="BU126" s="32"/>
      <c r="BV126" s="9"/>
      <c r="BW126" s="32"/>
      <c r="BX126" s="9">
        <v>111</v>
      </c>
      <c r="BY126" s="7">
        <v>5.2213573537301272E-2</v>
      </c>
      <c r="BZ126" s="9">
        <f t="shared" si="192"/>
        <v>2</v>
      </c>
      <c r="CA126" s="38">
        <f>AVERAGE(BZ$6:BZ126)</f>
        <v>4.8468468468468471</v>
      </c>
      <c r="CB126" s="32"/>
      <c r="CC126" s="9"/>
      <c r="CD126" s="32"/>
      <c r="CE126" s="9">
        <v>111</v>
      </c>
      <c r="CF126" s="7">
        <v>0.49287252803333104</v>
      </c>
      <c r="CG126" s="9">
        <f t="shared" si="193"/>
        <v>5</v>
      </c>
      <c r="CH126" s="38">
        <f>AVERAGE(CG$6:CG126)</f>
        <v>5.0360360360360357</v>
      </c>
      <c r="CI126" s="32"/>
      <c r="CJ126" s="9"/>
      <c r="CK126" s="32"/>
      <c r="CL126" s="9">
        <v>111</v>
      </c>
      <c r="CM126" s="7">
        <v>0.17833554148091935</v>
      </c>
      <c r="CN126" s="9">
        <f t="shared" si="194"/>
        <v>3</v>
      </c>
      <c r="CO126" s="38">
        <f>AVERAGE(CN$6:CN126)</f>
        <v>4.7477477477477477</v>
      </c>
      <c r="CP126" s="32"/>
      <c r="CQ126" s="9"/>
      <c r="CR126" s="32"/>
      <c r="CS126" s="9">
        <v>111</v>
      </c>
      <c r="CT126" s="7">
        <v>0.68018095023580827</v>
      </c>
      <c r="CU126" s="9">
        <f t="shared" si="195"/>
        <v>6</v>
      </c>
      <c r="CV126" s="38">
        <f>AVERAGE(CU$6:CU126)</f>
        <v>5.0180180180180178</v>
      </c>
      <c r="CW126" s="32"/>
      <c r="CX126" s="9"/>
      <c r="CY126" s="32"/>
      <c r="CZ126" s="9">
        <v>111</v>
      </c>
      <c r="DA126" s="7">
        <v>0.60236748462193646</v>
      </c>
      <c r="DB126" s="9">
        <f t="shared" si="196"/>
        <v>5</v>
      </c>
      <c r="DC126" s="38">
        <f>AVERAGE(DB$6:DB126)</f>
        <v>5.0720720720720722</v>
      </c>
      <c r="DD126" s="32"/>
      <c r="DE126" s="9"/>
      <c r="DF126" s="32"/>
      <c r="DG126" s="9">
        <v>111</v>
      </c>
      <c r="DH126" s="7">
        <v>0.39392584672896191</v>
      </c>
      <c r="DI126" s="9">
        <f t="shared" si="197"/>
        <v>4</v>
      </c>
      <c r="DJ126" s="38">
        <f>AVERAGE(DI$6:DI126)</f>
        <v>5.1891891891891895</v>
      </c>
      <c r="DK126" s="32"/>
      <c r="DL126" s="9"/>
      <c r="DM126" s="32"/>
      <c r="DN126" s="9">
        <v>111</v>
      </c>
      <c r="DO126" s="7">
        <v>0.80999373568920419</v>
      </c>
      <c r="DP126" s="9">
        <f t="shared" si="198"/>
        <v>7</v>
      </c>
      <c r="DQ126" s="38">
        <f>AVERAGE(DP$6:DP126)</f>
        <v>5.2072072072072073</v>
      </c>
      <c r="DR126" s="32"/>
      <c r="DS126" s="9"/>
      <c r="DT126" s="32"/>
      <c r="DU126" s="9">
        <v>111</v>
      </c>
      <c r="DV126" s="7">
        <v>0.94454569314257242</v>
      </c>
      <c r="DW126" s="9">
        <f t="shared" si="199"/>
        <v>9</v>
      </c>
      <c r="DX126" s="38">
        <f>AVERAGE(DW$6:DW126)</f>
        <v>5.0630630630630629</v>
      </c>
      <c r="DY126" s="32"/>
      <c r="DZ126" s="9"/>
      <c r="EA126" s="32"/>
      <c r="EB126" s="9">
        <v>111</v>
      </c>
      <c r="EC126" s="7">
        <v>0.87498749129008502</v>
      </c>
      <c r="ED126" s="9">
        <f t="shared" si="200"/>
        <v>8</v>
      </c>
      <c r="EE126" s="38">
        <f>AVERAGE(ED$6:ED126)</f>
        <v>4.5945945945945947</v>
      </c>
      <c r="EF126" s="32"/>
      <c r="EG126" s="9"/>
      <c r="EH126" s="32"/>
      <c r="EI126" s="9">
        <v>111</v>
      </c>
      <c r="EJ126" s="7">
        <v>0.80946955844410695</v>
      </c>
      <c r="EK126" s="9">
        <f t="shared" si="201"/>
        <v>7</v>
      </c>
      <c r="EL126" s="38">
        <f>AVERAGE(EK$6:EK126)</f>
        <v>5.1441441441441444</v>
      </c>
      <c r="EM126" s="32"/>
      <c r="EN126" s="9"/>
      <c r="EO126" s="32"/>
      <c r="EP126" s="9">
        <v>111</v>
      </c>
      <c r="EQ126" s="7">
        <v>0.60114440438337624</v>
      </c>
      <c r="ER126" s="9">
        <f t="shared" si="202"/>
        <v>5</v>
      </c>
      <c r="ES126" s="38">
        <f>AVERAGE(ER$6:ER126)</f>
        <v>5.1171171171171173</v>
      </c>
      <c r="ET126" s="32"/>
    </row>
    <row r="127" spans="5:150" x14ac:dyDescent="0.25">
      <c r="E127" s="7"/>
      <c r="L127" s="32"/>
      <c r="M127" s="9">
        <v>112</v>
      </c>
      <c r="N127" s="7">
        <v>0.52455010477569886</v>
      </c>
      <c r="O127" s="9">
        <f t="shared" si="203"/>
        <v>5</v>
      </c>
      <c r="P127" s="38">
        <f>AVERAGE(O$6:O127)</f>
        <v>5</v>
      </c>
      <c r="Q127" s="32"/>
      <c r="R127" s="9"/>
      <c r="S127" s="32"/>
      <c r="T127" s="9">
        <v>112</v>
      </c>
      <c r="U127" s="7">
        <v>0.21424304702668451</v>
      </c>
      <c r="V127" s="9">
        <f t="shared" si="184"/>
        <v>3</v>
      </c>
      <c r="W127" s="38">
        <f>AVERAGE(V$6:V127)</f>
        <v>4.9375</v>
      </c>
      <c r="X127" s="32"/>
      <c r="Y127" s="9"/>
      <c r="Z127" s="32"/>
      <c r="AA127" s="9">
        <v>112</v>
      </c>
      <c r="AB127" s="7">
        <v>0.80146070211776532</v>
      </c>
      <c r="AC127" s="9">
        <f t="shared" si="185"/>
        <v>7</v>
      </c>
      <c r="AD127" s="38">
        <f>AVERAGE(AC$6:AC127)</f>
        <v>5.0714285714285712</v>
      </c>
      <c r="AE127" s="32"/>
      <c r="AF127" s="9"/>
      <c r="AG127" s="32"/>
      <c r="AH127" s="9">
        <v>112</v>
      </c>
      <c r="AI127" s="7">
        <v>0.59749751185881905</v>
      </c>
      <c r="AJ127" s="9">
        <f t="shared" si="186"/>
        <v>5</v>
      </c>
      <c r="AK127" s="38">
        <f>AVERAGE(AJ$6:AJ127)</f>
        <v>4.9017857142857144</v>
      </c>
      <c r="AL127" s="32"/>
      <c r="AM127" s="9"/>
      <c r="AN127" s="32"/>
      <c r="AO127" s="9">
        <v>112</v>
      </c>
      <c r="AP127" s="7">
        <v>0.14191791557823308</v>
      </c>
      <c r="AQ127" s="9">
        <f t="shared" si="187"/>
        <v>3</v>
      </c>
      <c r="AR127" s="38">
        <f>AVERAGE(AQ$6:AQ127)</f>
        <v>5.0803571428571432</v>
      </c>
      <c r="AS127" s="32"/>
      <c r="AT127" s="9"/>
      <c r="AU127" s="32"/>
      <c r="AV127" s="9">
        <v>112</v>
      </c>
      <c r="AW127" s="7">
        <v>0.28880011380533688</v>
      </c>
      <c r="AX127" s="9">
        <f t="shared" si="188"/>
        <v>4</v>
      </c>
      <c r="AY127" s="38">
        <f>AVERAGE(AX$6:AX127)</f>
        <v>4.8214285714285712</v>
      </c>
      <c r="AZ127" s="32"/>
      <c r="BA127" s="9"/>
      <c r="BB127" s="32"/>
      <c r="BC127" s="9">
        <v>112</v>
      </c>
      <c r="BD127" s="7">
        <v>0.98804941592970863</v>
      </c>
      <c r="BE127" s="9">
        <f t="shared" si="189"/>
        <v>11</v>
      </c>
      <c r="BF127" s="38">
        <f>AVERAGE(BE$6:BE127)</f>
        <v>4.8125</v>
      </c>
      <c r="BG127" s="32"/>
      <c r="BH127" s="9"/>
      <c r="BI127" s="32"/>
      <c r="BJ127" s="9">
        <v>112</v>
      </c>
      <c r="BK127" s="7">
        <v>0.106235549232224</v>
      </c>
      <c r="BL127" s="9">
        <f t="shared" si="190"/>
        <v>2</v>
      </c>
      <c r="BM127" s="38">
        <f>AVERAGE(BL$6:BL127)</f>
        <v>5.1785714285714288</v>
      </c>
      <c r="BN127" s="32"/>
      <c r="BO127" s="9"/>
      <c r="BP127" s="32"/>
      <c r="BQ127" s="9">
        <v>112</v>
      </c>
      <c r="BR127" s="7">
        <v>0.56861889272113331</v>
      </c>
      <c r="BS127" s="9">
        <f t="shared" si="191"/>
        <v>5</v>
      </c>
      <c r="BT127" s="38">
        <f>AVERAGE(BS$6:BS127)</f>
        <v>4.875</v>
      </c>
      <c r="BU127" s="32"/>
      <c r="BV127" s="9"/>
      <c r="BW127" s="32"/>
      <c r="BX127" s="9">
        <v>112</v>
      </c>
      <c r="BY127" s="7">
        <v>0.88999037173925899</v>
      </c>
      <c r="BZ127" s="9">
        <f t="shared" si="192"/>
        <v>8</v>
      </c>
      <c r="CA127" s="38">
        <f>AVERAGE(BZ$6:BZ127)</f>
        <v>4.875</v>
      </c>
      <c r="CB127" s="32"/>
      <c r="CC127" s="9"/>
      <c r="CD127" s="32"/>
      <c r="CE127" s="9">
        <v>112</v>
      </c>
      <c r="CF127" s="7">
        <v>0.82935193719458766</v>
      </c>
      <c r="CG127" s="9">
        <f t="shared" si="193"/>
        <v>7</v>
      </c>
      <c r="CH127" s="38">
        <f>AVERAGE(CG$6:CG127)</f>
        <v>5.0535714285714288</v>
      </c>
      <c r="CI127" s="32"/>
      <c r="CJ127" s="9"/>
      <c r="CK127" s="32"/>
      <c r="CL127" s="9">
        <v>112</v>
      </c>
      <c r="CM127" s="7">
        <v>0.84280386270256713</v>
      </c>
      <c r="CN127" s="9">
        <f t="shared" si="194"/>
        <v>7</v>
      </c>
      <c r="CO127" s="38">
        <f>AVERAGE(CN$6:CN127)</f>
        <v>4.7678571428571432</v>
      </c>
      <c r="CP127" s="32"/>
      <c r="CQ127" s="9"/>
      <c r="CR127" s="32"/>
      <c r="CS127" s="9">
        <v>112</v>
      </c>
      <c r="CT127" s="7">
        <v>0.29318937147036195</v>
      </c>
      <c r="CU127" s="9">
        <f t="shared" si="195"/>
        <v>4</v>
      </c>
      <c r="CV127" s="38">
        <f>AVERAGE(CU$6:CU127)</f>
        <v>5.0089285714285712</v>
      </c>
      <c r="CW127" s="32"/>
      <c r="CX127" s="9"/>
      <c r="CY127" s="32"/>
      <c r="CZ127" s="9">
        <v>112</v>
      </c>
      <c r="DA127" s="7">
        <v>0.21925458032637835</v>
      </c>
      <c r="DB127" s="9">
        <f t="shared" si="196"/>
        <v>3</v>
      </c>
      <c r="DC127" s="38">
        <f>AVERAGE(DB$6:DB127)</f>
        <v>5.0535714285714288</v>
      </c>
      <c r="DD127" s="32"/>
      <c r="DE127" s="9"/>
      <c r="DF127" s="32"/>
      <c r="DG127" s="9">
        <v>112</v>
      </c>
      <c r="DH127" s="7">
        <v>0.87181106544448994</v>
      </c>
      <c r="DI127" s="9">
        <f t="shared" si="197"/>
        <v>8</v>
      </c>
      <c r="DJ127" s="38">
        <f>AVERAGE(DI$6:DI127)</f>
        <v>5.2142857142857144</v>
      </c>
      <c r="DK127" s="32"/>
      <c r="DL127" s="9"/>
      <c r="DM127" s="32"/>
      <c r="DN127" s="9">
        <v>112</v>
      </c>
      <c r="DO127" s="7">
        <v>0.14677387996925972</v>
      </c>
      <c r="DP127" s="9">
        <f t="shared" si="198"/>
        <v>3</v>
      </c>
      <c r="DQ127" s="38">
        <f>AVERAGE(DP$6:DP127)</f>
        <v>5.1875</v>
      </c>
      <c r="DR127" s="32"/>
      <c r="DS127" s="9"/>
      <c r="DT127" s="32"/>
      <c r="DU127" s="9">
        <v>112</v>
      </c>
      <c r="DV127" s="7">
        <v>0.44103196845389903</v>
      </c>
      <c r="DW127" s="9">
        <f t="shared" si="199"/>
        <v>5</v>
      </c>
      <c r="DX127" s="38">
        <f>AVERAGE(DW$6:DW127)</f>
        <v>5.0625</v>
      </c>
      <c r="DY127" s="32"/>
      <c r="DZ127" s="9"/>
      <c r="EA127" s="32"/>
      <c r="EB127" s="9">
        <v>112</v>
      </c>
      <c r="EC127" s="7">
        <v>0.61855801442288794</v>
      </c>
      <c r="ED127" s="9">
        <f t="shared" si="200"/>
        <v>6</v>
      </c>
      <c r="EE127" s="38">
        <f>AVERAGE(ED$6:ED127)</f>
        <v>4.6071428571428568</v>
      </c>
      <c r="EF127" s="32"/>
      <c r="EG127" s="9"/>
      <c r="EH127" s="32"/>
      <c r="EI127" s="9">
        <v>112</v>
      </c>
      <c r="EJ127" s="7">
        <v>0.87682259874418378</v>
      </c>
      <c r="EK127" s="9">
        <f t="shared" si="201"/>
        <v>8</v>
      </c>
      <c r="EL127" s="38">
        <f>AVERAGE(EK$6:EK127)</f>
        <v>5.1696428571428568</v>
      </c>
      <c r="EM127" s="32"/>
      <c r="EN127" s="9"/>
      <c r="EO127" s="32"/>
      <c r="EP127" s="9">
        <v>112</v>
      </c>
      <c r="EQ127" s="7">
        <v>0.58936825746786781</v>
      </c>
      <c r="ER127" s="9">
        <f t="shared" si="202"/>
        <v>5</v>
      </c>
      <c r="ES127" s="38">
        <f>AVERAGE(ER$6:ER127)</f>
        <v>5.1160714285714288</v>
      </c>
      <c r="ET127" s="32"/>
    </row>
    <row r="128" spans="5:150" x14ac:dyDescent="0.25">
      <c r="E128" s="7"/>
      <c r="L128" s="32">
        <v>15</v>
      </c>
      <c r="M128" s="9">
        <v>113</v>
      </c>
      <c r="N128" s="7">
        <v>0.14330395951401442</v>
      </c>
      <c r="O128" s="9">
        <f t="shared" si="203"/>
        <v>3</v>
      </c>
      <c r="P128" s="38">
        <f>AVERAGE(O$6:O128)</f>
        <v>4.9823008849557526</v>
      </c>
      <c r="Q128" s="32">
        <f t="shared" ref="Q128" si="304">SUM(O128:O135)</f>
        <v>44</v>
      </c>
      <c r="R128" s="9"/>
      <c r="S128" s="32">
        <v>15</v>
      </c>
      <c r="T128" s="9">
        <v>113</v>
      </c>
      <c r="U128" s="7">
        <v>0.33516921877162531</v>
      </c>
      <c r="V128" s="9">
        <f t="shared" si="184"/>
        <v>4</v>
      </c>
      <c r="W128" s="38">
        <f>AVERAGE(V$6:V128)</f>
        <v>4.9292035398230087</v>
      </c>
      <c r="X128" s="32">
        <f t="shared" ref="X128" si="305">SUM(V128:V135)</f>
        <v>42</v>
      </c>
      <c r="Y128" s="9"/>
      <c r="Z128" s="32">
        <v>15</v>
      </c>
      <c r="AA128" s="9">
        <v>113</v>
      </c>
      <c r="AB128" s="7">
        <v>0.75226159067824483</v>
      </c>
      <c r="AC128" s="9">
        <f t="shared" si="185"/>
        <v>6</v>
      </c>
      <c r="AD128" s="38">
        <f>AVERAGE(AC$6:AC128)</f>
        <v>5.0796460176991154</v>
      </c>
      <c r="AE128" s="32">
        <f t="shared" ref="AE128" si="306">SUM(AC128:AC135)</f>
        <v>41</v>
      </c>
      <c r="AF128" s="9"/>
      <c r="AG128" s="32">
        <v>15</v>
      </c>
      <c r="AH128" s="9">
        <v>113</v>
      </c>
      <c r="AI128" s="7">
        <v>0.71121860732091591</v>
      </c>
      <c r="AJ128" s="9">
        <f t="shared" si="186"/>
        <v>6</v>
      </c>
      <c r="AK128" s="38">
        <f>AVERAGE(AJ$6:AJ128)</f>
        <v>4.9115044247787614</v>
      </c>
      <c r="AL128" s="32">
        <f t="shared" ref="AL128" si="307">SUM(AJ128:AJ135)</f>
        <v>45</v>
      </c>
      <c r="AM128" s="9"/>
      <c r="AN128" s="32">
        <v>15</v>
      </c>
      <c r="AO128" s="9">
        <v>113</v>
      </c>
      <c r="AP128" s="7">
        <v>8.7726522819139063E-2</v>
      </c>
      <c r="AQ128" s="9">
        <f t="shared" si="187"/>
        <v>2</v>
      </c>
      <c r="AR128" s="38">
        <f>AVERAGE(AQ$6:AQ128)</f>
        <v>5.053097345132743</v>
      </c>
      <c r="AS128" s="32">
        <f t="shared" ref="AS128" si="308">SUM(AQ128:AQ135)</f>
        <v>40</v>
      </c>
      <c r="AT128" s="9"/>
      <c r="AU128" s="32">
        <v>15</v>
      </c>
      <c r="AV128" s="9">
        <v>113</v>
      </c>
      <c r="AW128" s="7">
        <v>0.73205860977759585</v>
      </c>
      <c r="AX128" s="9">
        <f t="shared" si="188"/>
        <v>6</v>
      </c>
      <c r="AY128" s="38">
        <f>AVERAGE(AX$6:AX128)</f>
        <v>4.831858407079646</v>
      </c>
      <c r="AZ128" s="32">
        <f t="shared" ref="AZ128" si="309">SUM(AX128:AX135)</f>
        <v>32</v>
      </c>
      <c r="BA128" s="9"/>
      <c r="BB128" s="32">
        <v>15</v>
      </c>
      <c r="BC128" s="9">
        <v>113</v>
      </c>
      <c r="BD128" s="7">
        <v>0.8454492038290482</v>
      </c>
      <c r="BE128" s="9">
        <f t="shared" si="189"/>
        <v>7</v>
      </c>
      <c r="BF128" s="38">
        <f>AVERAGE(BE$6:BE128)</f>
        <v>4.831858407079646</v>
      </c>
      <c r="BG128" s="32">
        <f t="shared" ref="BG128" si="310">SUM(BE128:BE135)</f>
        <v>42</v>
      </c>
      <c r="BH128" s="9"/>
      <c r="BI128" s="32">
        <v>15</v>
      </c>
      <c r="BJ128" s="9">
        <v>113</v>
      </c>
      <c r="BK128" s="7">
        <v>0.71130785462446511</v>
      </c>
      <c r="BL128" s="9">
        <f t="shared" si="190"/>
        <v>6</v>
      </c>
      <c r="BM128" s="38">
        <f>AVERAGE(BL$6:BL128)</f>
        <v>5.1858407079646014</v>
      </c>
      <c r="BN128" s="32">
        <f t="shared" ref="BN128" si="311">SUM(BL128:BL135)</f>
        <v>39</v>
      </c>
      <c r="BO128" s="9"/>
      <c r="BP128" s="32">
        <v>15</v>
      </c>
      <c r="BQ128" s="9">
        <v>113</v>
      </c>
      <c r="BR128" s="7">
        <v>0.83872975141275674</v>
      </c>
      <c r="BS128" s="9">
        <f t="shared" si="191"/>
        <v>7</v>
      </c>
      <c r="BT128" s="38">
        <f>AVERAGE(BS$6:BS128)</f>
        <v>4.8938053097345131</v>
      </c>
      <c r="BU128" s="32">
        <f t="shared" ref="BU128" si="312">SUM(BS128:BS135)</f>
        <v>44</v>
      </c>
      <c r="BV128" s="9"/>
      <c r="BW128" s="32">
        <v>15</v>
      </c>
      <c r="BX128" s="9">
        <v>113</v>
      </c>
      <c r="BY128" s="7">
        <v>0.34504144574748352</v>
      </c>
      <c r="BZ128" s="9">
        <f t="shared" si="192"/>
        <v>4</v>
      </c>
      <c r="CA128" s="38">
        <f>AVERAGE(BZ$6:BZ128)</f>
        <v>4.8672566371681416</v>
      </c>
      <c r="CB128" s="32">
        <f t="shared" ref="CB128" si="313">SUM(BZ128:BZ135)</f>
        <v>43</v>
      </c>
      <c r="CC128" s="9"/>
      <c r="CD128" s="32">
        <v>15</v>
      </c>
      <c r="CE128" s="9">
        <v>113</v>
      </c>
      <c r="CF128" s="7">
        <v>0.11624765524175018</v>
      </c>
      <c r="CG128" s="9">
        <f t="shared" si="193"/>
        <v>2</v>
      </c>
      <c r="CH128" s="38">
        <f>AVERAGE(CG$6:CG128)</f>
        <v>5.0265486725663715</v>
      </c>
      <c r="CI128" s="32">
        <f t="shared" ref="CI128" si="314">SUM(CG128:CG135)</f>
        <v>44</v>
      </c>
      <c r="CJ128" s="9"/>
      <c r="CK128" s="32">
        <v>15</v>
      </c>
      <c r="CL128" s="9">
        <v>113</v>
      </c>
      <c r="CM128" s="7">
        <v>4.3989291851175949E-2</v>
      </c>
      <c r="CN128" s="9">
        <f t="shared" si="194"/>
        <v>2</v>
      </c>
      <c r="CO128" s="38">
        <f>AVERAGE(CN$6:CN128)</f>
        <v>4.7433628318584073</v>
      </c>
      <c r="CP128" s="32">
        <f t="shared" ref="CP128" si="315">SUM(CN128:CN135)</f>
        <v>39</v>
      </c>
      <c r="CQ128" s="9"/>
      <c r="CR128" s="32">
        <v>15</v>
      </c>
      <c r="CS128" s="9">
        <v>113</v>
      </c>
      <c r="CT128" s="7">
        <v>0.99252630726550706</v>
      </c>
      <c r="CU128" s="9">
        <f t="shared" si="195"/>
        <v>11</v>
      </c>
      <c r="CV128" s="38">
        <f>AVERAGE(CU$6:CU128)</f>
        <v>5.0619469026548671</v>
      </c>
      <c r="CW128" s="32">
        <f t="shared" ref="CW128" si="316">SUM(CU128:CU135)</f>
        <v>46</v>
      </c>
      <c r="CX128" s="9"/>
      <c r="CY128" s="32">
        <v>15</v>
      </c>
      <c r="CZ128" s="9">
        <v>113</v>
      </c>
      <c r="DA128" s="7">
        <v>0.91610886811395176</v>
      </c>
      <c r="DB128" s="9">
        <f t="shared" si="196"/>
        <v>8</v>
      </c>
      <c r="DC128" s="38">
        <f>AVERAGE(DB$6:DB128)</f>
        <v>5.0796460176991154</v>
      </c>
      <c r="DD128" s="32">
        <f t="shared" ref="DD128" si="317">SUM(DB128:DB135)</f>
        <v>59</v>
      </c>
      <c r="DE128" s="9"/>
      <c r="DF128" s="32">
        <v>15</v>
      </c>
      <c r="DG128" s="9">
        <v>113</v>
      </c>
      <c r="DH128" s="7">
        <v>0.98269870394142345</v>
      </c>
      <c r="DI128" s="9">
        <f t="shared" si="197"/>
        <v>10</v>
      </c>
      <c r="DJ128" s="38">
        <f>AVERAGE(DI$6:DI128)</f>
        <v>5.2566371681415927</v>
      </c>
      <c r="DK128" s="32">
        <f t="shared" ref="DK128" si="318">SUM(DI128:DI135)</f>
        <v>45</v>
      </c>
      <c r="DL128" s="9"/>
      <c r="DM128" s="32">
        <v>15</v>
      </c>
      <c r="DN128" s="9">
        <v>113</v>
      </c>
      <c r="DO128" s="7">
        <v>0.5885481841978617</v>
      </c>
      <c r="DP128" s="9">
        <f t="shared" si="198"/>
        <v>5</v>
      </c>
      <c r="DQ128" s="38">
        <f>AVERAGE(DP$6:DP128)</f>
        <v>5.1858407079646014</v>
      </c>
      <c r="DR128" s="32">
        <f t="shared" ref="DR128" si="319">SUM(DP128:DP135)</f>
        <v>35</v>
      </c>
      <c r="DS128" s="9"/>
      <c r="DT128" s="32">
        <v>15</v>
      </c>
      <c r="DU128" s="9">
        <v>113</v>
      </c>
      <c r="DV128" s="7">
        <v>0.13146375378710218</v>
      </c>
      <c r="DW128" s="9">
        <f t="shared" si="199"/>
        <v>3</v>
      </c>
      <c r="DX128" s="38">
        <f>AVERAGE(DW$6:DW128)</f>
        <v>5.0442477876106198</v>
      </c>
      <c r="DY128" s="32">
        <f t="shared" ref="DY128" si="320">SUM(DW128:DW135)</f>
        <v>44</v>
      </c>
      <c r="DZ128" s="9"/>
      <c r="EA128" s="32">
        <v>15</v>
      </c>
      <c r="EB128" s="9">
        <v>113</v>
      </c>
      <c r="EC128" s="7">
        <v>0.55737742781639099</v>
      </c>
      <c r="ED128" s="9">
        <f t="shared" si="200"/>
        <v>5</v>
      </c>
      <c r="EE128" s="38">
        <f>AVERAGE(ED$6:ED128)</f>
        <v>4.610619469026549</v>
      </c>
      <c r="EF128" s="32">
        <f t="shared" ref="EF128" si="321">SUM(ED128:ED135)</f>
        <v>32</v>
      </c>
      <c r="EG128" s="9"/>
      <c r="EH128" s="32">
        <v>15</v>
      </c>
      <c r="EI128" s="9">
        <v>113</v>
      </c>
      <c r="EJ128" s="7">
        <v>0.56363835328374989</v>
      </c>
      <c r="EK128" s="9">
        <f t="shared" si="201"/>
        <v>5</v>
      </c>
      <c r="EL128" s="38">
        <f>AVERAGE(EK$6:EK128)</f>
        <v>5.168141592920354</v>
      </c>
      <c r="EM128" s="32">
        <f t="shared" ref="EM128" si="322">SUM(EK128:EK135)</f>
        <v>49</v>
      </c>
      <c r="EN128" s="9"/>
      <c r="EO128" s="32">
        <v>15</v>
      </c>
      <c r="EP128" s="9">
        <v>113</v>
      </c>
      <c r="EQ128" s="7">
        <v>0.52465259598102421</v>
      </c>
      <c r="ER128" s="9">
        <f t="shared" si="202"/>
        <v>5</v>
      </c>
      <c r="ES128" s="38">
        <f>AVERAGE(ER$6:ER128)</f>
        <v>5.115044247787611</v>
      </c>
      <c r="ET128" s="32">
        <f t="shared" ref="ET128" si="323">SUM(ER128:ER135)</f>
        <v>45</v>
      </c>
    </row>
    <row r="129" spans="5:150" x14ac:dyDescent="0.25">
      <c r="E129" s="7"/>
      <c r="L129" s="32"/>
      <c r="M129" s="9">
        <v>114</v>
      </c>
      <c r="N129" s="7">
        <v>0.80153914974653162</v>
      </c>
      <c r="O129" s="9">
        <f t="shared" si="203"/>
        <v>7</v>
      </c>
      <c r="P129" s="38">
        <f>AVERAGE(O$6:O129)</f>
        <v>5</v>
      </c>
      <c r="Q129" s="32"/>
      <c r="R129" s="9"/>
      <c r="S129" s="32"/>
      <c r="T129" s="9">
        <v>114</v>
      </c>
      <c r="U129" s="7">
        <v>0.61214766741613857</v>
      </c>
      <c r="V129" s="9">
        <f t="shared" si="184"/>
        <v>5</v>
      </c>
      <c r="W129" s="38">
        <f>AVERAGE(V$6:V129)</f>
        <v>4.9298245614035086</v>
      </c>
      <c r="X129" s="32"/>
      <c r="Y129" s="9"/>
      <c r="Z129" s="32"/>
      <c r="AA129" s="9">
        <v>114</v>
      </c>
      <c r="AB129" s="7">
        <v>0.41471919932519086</v>
      </c>
      <c r="AC129" s="9">
        <f t="shared" si="185"/>
        <v>4</v>
      </c>
      <c r="AD129" s="38">
        <f>AVERAGE(AC$6:AC129)</f>
        <v>5.0701754385964914</v>
      </c>
      <c r="AE129" s="32"/>
      <c r="AF129" s="9"/>
      <c r="AG129" s="32"/>
      <c r="AH129" s="9">
        <v>114</v>
      </c>
      <c r="AI129" s="7">
        <v>0.27758277030079626</v>
      </c>
      <c r="AJ129" s="9">
        <f t="shared" si="186"/>
        <v>4</v>
      </c>
      <c r="AK129" s="38">
        <f>AVERAGE(AJ$6:AJ129)</f>
        <v>4.9035087719298245</v>
      </c>
      <c r="AL129" s="32"/>
      <c r="AM129" s="9"/>
      <c r="AN129" s="32"/>
      <c r="AO129" s="9">
        <v>114</v>
      </c>
      <c r="AP129" s="7">
        <v>0.17915925188572146</v>
      </c>
      <c r="AQ129" s="9">
        <f t="shared" si="187"/>
        <v>3</v>
      </c>
      <c r="AR129" s="38">
        <f>AVERAGE(AQ$6:AQ129)</f>
        <v>5.0350877192982457</v>
      </c>
      <c r="AS129" s="32"/>
      <c r="AT129" s="9"/>
      <c r="AU129" s="32"/>
      <c r="AV129" s="9">
        <v>114</v>
      </c>
      <c r="AW129" s="7">
        <v>1.0184035490965471E-2</v>
      </c>
      <c r="AX129" s="9">
        <f t="shared" si="188"/>
        <v>1</v>
      </c>
      <c r="AY129" s="38">
        <f>AVERAGE(AX$6:AX129)</f>
        <v>4.7982456140350873</v>
      </c>
      <c r="AZ129" s="32"/>
      <c r="BA129" s="9"/>
      <c r="BB129" s="32"/>
      <c r="BC129" s="9">
        <v>114</v>
      </c>
      <c r="BD129" s="7">
        <v>0.40633997198892757</v>
      </c>
      <c r="BE129" s="9">
        <f t="shared" si="189"/>
        <v>4</v>
      </c>
      <c r="BF129" s="38">
        <f>AVERAGE(BE$6:BE129)</f>
        <v>4.8245614035087723</v>
      </c>
      <c r="BG129" s="32"/>
      <c r="BH129" s="9"/>
      <c r="BI129" s="32"/>
      <c r="BJ129" s="9">
        <v>114</v>
      </c>
      <c r="BK129" s="7">
        <v>0.32354513162863441</v>
      </c>
      <c r="BL129" s="9">
        <f t="shared" si="190"/>
        <v>4</v>
      </c>
      <c r="BM129" s="38">
        <f>AVERAGE(BL$6:BL129)</f>
        <v>5.1754385964912277</v>
      </c>
      <c r="BN129" s="32"/>
      <c r="BO129" s="9"/>
      <c r="BP129" s="32"/>
      <c r="BQ129" s="9">
        <v>114</v>
      </c>
      <c r="BR129" s="7">
        <v>0.94582197759882547</v>
      </c>
      <c r="BS129" s="9">
        <f t="shared" si="191"/>
        <v>9</v>
      </c>
      <c r="BT129" s="38">
        <f>AVERAGE(BS$6:BS129)</f>
        <v>4.9298245614035086</v>
      </c>
      <c r="BU129" s="32"/>
      <c r="BV129" s="9"/>
      <c r="BW129" s="32"/>
      <c r="BX129" s="9">
        <v>114</v>
      </c>
      <c r="BY129" s="7">
        <v>0.69634455998311751</v>
      </c>
      <c r="BZ129" s="9">
        <f t="shared" si="192"/>
        <v>6</v>
      </c>
      <c r="CA129" s="38">
        <f>AVERAGE(BZ$6:BZ129)</f>
        <v>4.8771929824561404</v>
      </c>
      <c r="CB129" s="32"/>
      <c r="CC129" s="9"/>
      <c r="CD129" s="32"/>
      <c r="CE129" s="9">
        <v>114</v>
      </c>
      <c r="CF129" s="7">
        <v>0.8675424495304469</v>
      </c>
      <c r="CG129" s="9">
        <f t="shared" si="193"/>
        <v>8</v>
      </c>
      <c r="CH129" s="38">
        <f>AVERAGE(CG$6:CG129)</f>
        <v>5.0526315789473681</v>
      </c>
      <c r="CI129" s="32"/>
      <c r="CJ129" s="9"/>
      <c r="CK129" s="32"/>
      <c r="CL129" s="9">
        <v>114</v>
      </c>
      <c r="CM129" s="7">
        <v>0.65448530338471755</v>
      </c>
      <c r="CN129" s="9">
        <f t="shared" si="194"/>
        <v>6</v>
      </c>
      <c r="CO129" s="38">
        <f>AVERAGE(CN$6:CN129)</f>
        <v>4.7543859649122808</v>
      </c>
      <c r="CP129" s="32"/>
      <c r="CQ129" s="9"/>
      <c r="CR129" s="32"/>
      <c r="CS129" s="9">
        <v>114</v>
      </c>
      <c r="CT129" s="7">
        <v>0.15104824176523834</v>
      </c>
      <c r="CU129" s="9">
        <f t="shared" si="195"/>
        <v>3</v>
      </c>
      <c r="CV129" s="38">
        <f>AVERAGE(CU$6:CU129)</f>
        <v>5.0438596491228074</v>
      </c>
      <c r="CW129" s="32"/>
      <c r="CX129" s="9"/>
      <c r="CY129" s="32"/>
      <c r="CZ129" s="9">
        <v>114</v>
      </c>
      <c r="DA129" s="7">
        <v>0.79606707871425897</v>
      </c>
      <c r="DB129" s="9">
        <f t="shared" si="196"/>
        <v>7</v>
      </c>
      <c r="DC129" s="38">
        <f>AVERAGE(DB$6:DB129)</f>
        <v>5.0964912280701755</v>
      </c>
      <c r="DD129" s="32"/>
      <c r="DE129" s="9"/>
      <c r="DF129" s="32"/>
      <c r="DG129" s="9">
        <v>114</v>
      </c>
      <c r="DH129" s="7">
        <v>8.983252986217849E-2</v>
      </c>
      <c r="DI129" s="9">
        <f t="shared" si="197"/>
        <v>2</v>
      </c>
      <c r="DJ129" s="38">
        <f>AVERAGE(DI$6:DI129)</f>
        <v>5.2280701754385968</v>
      </c>
      <c r="DK129" s="32"/>
      <c r="DL129" s="9"/>
      <c r="DM129" s="32"/>
      <c r="DN129" s="9">
        <v>114</v>
      </c>
      <c r="DO129" s="7">
        <v>0.10231486192787997</v>
      </c>
      <c r="DP129" s="9">
        <f t="shared" si="198"/>
        <v>2</v>
      </c>
      <c r="DQ129" s="38">
        <f>AVERAGE(DP$6:DP129)</f>
        <v>5.1578947368421053</v>
      </c>
      <c r="DR129" s="32"/>
      <c r="DS129" s="9"/>
      <c r="DT129" s="32"/>
      <c r="DU129" s="9">
        <v>114</v>
      </c>
      <c r="DV129" s="7">
        <v>0.70383320038672537</v>
      </c>
      <c r="DW129" s="9">
        <f t="shared" si="199"/>
        <v>6</v>
      </c>
      <c r="DX129" s="38">
        <f>AVERAGE(DW$6:DW129)</f>
        <v>5.0526315789473681</v>
      </c>
      <c r="DY129" s="32"/>
      <c r="DZ129" s="9"/>
      <c r="EA129" s="32"/>
      <c r="EB129" s="9">
        <v>114</v>
      </c>
      <c r="EC129" s="7">
        <v>4.9375325470464304E-2</v>
      </c>
      <c r="ED129" s="9">
        <f t="shared" si="200"/>
        <v>2</v>
      </c>
      <c r="EE129" s="38">
        <f>AVERAGE(ED$6:ED129)</f>
        <v>4.5877192982456139</v>
      </c>
      <c r="EF129" s="32"/>
      <c r="EG129" s="9"/>
      <c r="EH129" s="32"/>
      <c r="EI129" s="9">
        <v>114</v>
      </c>
      <c r="EJ129" s="7">
        <v>0.27375194116029888</v>
      </c>
      <c r="EK129" s="9">
        <f t="shared" si="201"/>
        <v>4</v>
      </c>
      <c r="EL129" s="38">
        <f>AVERAGE(EK$6:EK129)</f>
        <v>5.1578947368421053</v>
      </c>
      <c r="EM129" s="32"/>
      <c r="EN129" s="9"/>
      <c r="EO129" s="32"/>
      <c r="EP129" s="9">
        <v>114</v>
      </c>
      <c r="EQ129" s="7">
        <v>0.19608693025656976</v>
      </c>
      <c r="ER129" s="9">
        <f t="shared" si="202"/>
        <v>3</v>
      </c>
      <c r="ES129" s="38">
        <f>AVERAGE(ER$6:ER129)</f>
        <v>5.0964912280701755</v>
      </c>
      <c r="ET129" s="32"/>
    </row>
    <row r="130" spans="5:150" x14ac:dyDescent="0.25">
      <c r="E130" s="7"/>
      <c r="L130" s="32"/>
      <c r="M130" s="9">
        <v>115</v>
      </c>
      <c r="N130" s="7">
        <v>0.79266211949288845</v>
      </c>
      <c r="O130" s="9">
        <f t="shared" si="203"/>
        <v>7</v>
      </c>
      <c r="P130" s="38">
        <f>AVERAGE(O$6:O130)</f>
        <v>5.017391304347826</v>
      </c>
      <c r="Q130" s="32"/>
      <c r="R130" s="9"/>
      <c r="S130" s="32"/>
      <c r="T130" s="9">
        <v>115</v>
      </c>
      <c r="U130" s="7">
        <v>0.25604871934046969</v>
      </c>
      <c r="V130" s="9">
        <f t="shared" si="184"/>
        <v>3</v>
      </c>
      <c r="W130" s="38">
        <f>AVERAGE(V$6:V130)</f>
        <v>4.9130434782608692</v>
      </c>
      <c r="X130" s="32"/>
      <c r="Y130" s="9"/>
      <c r="Z130" s="32"/>
      <c r="AA130" s="9">
        <v>115</v>
      </c>
      <c r="AB130" s="7">
        <v>0.58038765250239521</v>
      </c>
      <c r="AC130" s="9">
        <f t="shared" si="185"/>
        <v>5</v>
      </c>
      <c r="AD130" s="38">
        <f>AVERAGE(AC$6:AC130)</f>
        <v>5.0695652173913039</v>
      </c>
      <c r="AE130" s="32"/>
      <c r="AF130" s="9"/>
      <c r="AG130" s="32"/>
      <c r="AH130" s="9">
        <v>115</v>
      </c>
      <c r="AI130" s="7">
        <v>0.9551267049391754</v>
      </c>
      <c r="AJ130" s="9">
        <f t="shared" si="186"/>
        <v>9</v>
      </c>
      <c r="AK130" s="38">
        <f>AVERAGE(AJ$6:AJ130)</f>
        <v>4.9391304347826086</v>
      </c>
      <c r="AL130" s="32"/>
      <c r="AM130" s="9"/>
      <c r="AN130" s="32"/>
      <c r="AO130" s="9">
        <v>115</v>
      </c>
      <c r="AP130" s="7">
        <v>0.26701472117565572</v>
      </c>
      <c r="AQ130" s="9">
        <f t="shared" si="187"/>
        <v>4</v>
      </c>
      <c r="AR130" s="38">
        <f>AVERAGE(AQ$6:AQ130)</f>
        <v>5.0260869565217394</v>
      </c>
      <c r="AS130" s="32"/>
      <c r="AT130" s="9"/>
      <c r="AU130" s="32"/>
      <c r="AV130" s="9">
        <v>115</v>
      </c>
      <c r="AW130" s="7">
        <v>0.24477827787632123</v>
      </c>
      <c r="AX130" s="9">
        <f t="shared" si="188"/>
        <v>3</v>
      </c>
      <c r="AY130" s="38">
        <f>AVERAGE(AX$6:AX130)</f>
        <v>4.7826086956521738</v>
      </c>
      <c r="AZ130" s="32"/>
      <c r="BA130" s="9"/>
      <c r="BB130" s="32"/>
      <c r="BC130" s="9">
        <v>115</v>
      </c>
      <c r="BD130" s="7">
        <v>0.26508557432680391</v>
      </c>
      <c r="BE130" s="9">
        <f t="shared" si="189"/>
        <v>4</v>
      </c>
      <c r="BF130" s="38">
        <f>AVERAGE(BE$6:BE130)</f>
        <v>4.8173913043478258</v>
      </c>
      <c r="BG130" s="32"/>
      <c r="BH130" s="9"/>
      <c r="BI130" s="32"/>
      <c r="BJ130" s="9">
        <v>115</v>
      </c>
      <c r="BK130" s="7">
        <v>0.62574278877582401</v>
      </c>
      <c r="BL130" s="9">
        <f t="shared" si="190"/>
        <v>6</v>
      </c>
      <c r="BM130" s="38">
        <f>AVERAGE(BL$6:BL130)</f>
        <v>5.1826086956521742</v>
      </c>
      <c r="BN130" s="32"/>
      <c r="BO130" s="9"/>
      <c r="BP130" s="32"/>
      <c r="BQ130" s="9">
        <v>115</v>
      </c>
      <c r="BR130" s="7">
        <v>9.8318463424220681E-2</v>
      </c>
      <c r="BS130" s="9">
        <f t="shared" si="191"/>
        <v>2</v>
      </c>
      <c r="BT130" s="38">
        <f>AVERAGE(BS$6:BS130)</f>
        <v>4.9043478260869566</v>
      </c>
      <c r="BU130" s="32"/>
      <c r="BV130" s="9"/>
      <c r="BW130" s="32"/>
      <c r="BX130" s="9">
        <v>115</v>
      </c>
      <c r="BY130" s="7">
        <v>0.61744839133461937</v>
      </c>
      <c r="BZ130" s="9">
        <f t="shared" si="192"/>
        <v>6</v>
      </c>
      <c r="CA130" s="38">
        <f>AVERAGE(BZ$6:BZ130)</f>
        <v>4.8869565217391306</v>
      </c>
      <c r="CB130" s="32"/>
      <c r="CC130" s="9"/>
      <c r="CD130" s="32"/>
      <c r="CE130" s="9">
        <v>115</v>
      </c>
      <c r="CF130" s="7">
        <v>0.78436150820925832</v>
      </c>
      <c r="CG130" s="9">
        <f t="shared" si="193"/>
        <v>7</v>
      </c>
      <c r="CH130" s="38">
        <f>AVERAGE(CG$6:CG130)</f>
        <v>5.0695652173913039</v>
      </c>
      <c r="CI130" s="32"/>
      <c r="CJ130" s="9"/>
      <c r="CK130" s="32"/>
      <c r="CL130" s="9">
        <v>115</v>
      </c>
      <c r="CM130" s="7">
        <v>5.9931243158644065E-2</v>
      </c>
      <c r="CN130" s="9">
        <f t="shared" si="194"/>
        <v>2</v>
      </c>
      <c r="CO130" s="38">
        <f>AVERAGE(CN$6:CN130)</f>
        <v>4.7304347826086959</v>
      </c>
      <c r="CP130" s="32"/>
      <c r="CQ130" s="9"/>
      <c r="CR130" s="32"/>
      <c r="CS130" s="9">
        <v>115</v>
      </c>
      <c r="CT130" s="7">
        <v>0.78984450912685134</v>
      </c>
      <c r="CU130" s="9">
        <f t="shared" si="195"/>
        <v>7</v>
      </c>
      <c r="CV130" s="38">
        <f>AVERAGE(CU$6:CU130)</f>
        <v>5.0608695652173914</v>
      </c>
      <c r="CW130" s="32"/>
      <c r="CX130" s="9"/>
      <c r="CY130" s="32"/>
      <c r="CZ130" s="9">
        <v>115</v>
      </c>
      <c r="DA130" s="7">
        <v>0.97454553787247278</v>
      </c>
      <c r="DB130" s="9">
        <f t="shared" si="196"/>
        <v>10</v>
      </c>
      <c r="DC130" s="38">
        <f>AVERAGE(DB$6:DB130)</f>
        <v>5.1391304347826088</v>
      </c>
      <c r="DD130" s="32"/>
      <c r="DE130" s="9"/>
      <c r="DF130" s="32"/>
      <c r="DG130" s="9">
        <v>115</v>
      </c>
      <c r="DH130" s="7">
        <v>0.26375287905102596</v>
      </c>
      <c r="DI130" s="9">
        <f t="shared" si="197"/>
        <v>3</v>
      </c>
      <c r="DJ130" s="38">
        <f>AVERAGE(DI$6:DI130)</f>
        <v>5.2086956521739127</v>
      </c>
      <c r="DK130" s="32"/>
      <c r="DL130" s="9"/>
      <c r="DM130" s="32"/>
      <c r="DN130" s="9">
        <v>115</v>
      </c>
      <c r="DO130" s="7">
        <v>0.69215389288729057</v>
      </c>
      <c r="DP130" s="9">
        <f t="shared" si="198"/>
        <v>6</v>
      </c>
      <c r="DQ130" s="38">
        <f>AVERAGE(DP$6:DP130)</f>
        <v>5.1652173913043482</v>
      </c>
      <c r="DR130" s="32"/>
      <c r="DS130" s="9"/>
      <c r="DT130" s="32"/>
      <c r="DU130" s="9">
        <v>115</v>
      </c>
      <c r="DV130" s="7">
        <v>0.47409819919266738</v>
      </c>
      <c r="DW130" s="9">
        <f t="shared" si="199"/>
        <v>5</v>
      </c>
      <c r="DX130" s="38">
        <f>AVERAGE(DW$6:DW130)</f>
        <v>5.052173913043478</v>
      </c>
      <c r="DY130" s="32"/>
      <c r="DZ130" s="9"/>
      <c r="EA130" s="32"/>
      <c r="EB130" s="9">
        <v>115</v>
      </c>
      <c r="EC130" s="7">
        <v>0.42829261731822044</v>
      </c>
      <c r="ED130" s="9">
        <f t="shared" si="200"/>
        <v>4</v>
      </c>
      <c r="EE130" s="38">
        <f>AVERAGE(ED$6:ED130)</f>
        <v>4.5826086956521737</v>
      </c>
      <c r="EF130" s="32"/>
      <c r="EG130" s="9"/>
      <c r="EH130" s="32"/>
      <c r="EI130" s="9">
        <v>115</v>
      </c>
      <c r="EJ130" s="7">
        <v>0.98224969758302905</v>
      </c>
      <c r="EK130" s="9">
        <f t="shared" si="201"/>
        <v>10</v>
      </c>
      <c r="EL130" s="38">
        <f>AVERAGE(EK$6:EK130)</f>
        <v>5.2</v>
      </c>
      <c r="EM130" s="32"/>
      <c r="EN130" s="9"/>
      <c r="EO130" s="32"/>
      <c r="EP130" s="9">
        <v>115</v>
      </c>
      <c r="EQ130" s="7">
        <v>0.98476908216252923</v>
      </c>
      <c r="ER130" s="9">
        <f t="shared" si="202"/>
        <v>10</v>
      </c>
      <c r="ES130" s="38">
        <f>AVERAGE(ER$6:ER130)</f>
        <v>5.1391304347826088</v>
      </c>
      <c r="ET130" s="32"/>
    </row>
    <row r="131" spans="5:150" x14ac:dyDescent="0.25">
      <c r="E131" s="7"/>
      <c r="L131" s="32"/>
      <c r="M131" s="9">
        <v>116</v>
      </c>
      <c r="N131" s="7">
        <v>0.2209915388666559</v>
      </c>
      <c r="O131" s="9">
        <f t="shared" si="203"/>
        <v>3</v>
      </c>
      <c r="P131" s="38">
        <f>AVERAGE(O$6:O131)</f>
        <v>5</v>
      </c>
      <c r="Q131" s="32"/>
      <c r="R131" s="9"/>
      <c r="S131" s="32"/>
      <c r="T131" s="9">
        <v>116</v>
      </c>
      <c r="U131" s="7">
        <v>0.86509046037099324</v>
      </c>
      <c r="V131" s="9">
        <f t="shared" si="184"/>
        <v>7</v>
      </c>
      <c r="W131" s="38">
        <f>AVERAGE(V$6:V131)</f>
        <v>4.931034482758621</v>
      </c>
      <c r="X131" s="32"/>
      <c r="Y131" s="9"/>
      <c r="Z131" s="32"/>
      <c r="AA131" s="9">
        <v>116</v>
      </c>
      <c r="AB131" s="7">
        <v>0.89964103876263835</v>
      </c>
      <c r="AC131" s="9">
        <f t="shared" si="185"/>
        <v>8</v>
      </c>
      <c r="AD131" s="38">
        <f>AVERAGE(AC$6:AC131)</f>
        <v>5.0948275862068968</v>
      </c>
      <c r="AE131" s="32"/>
      <c r="AF131" s="9"/>
      <c r="AG131" s="32"/>
      <c r="AH131" s="9">
        <v>116</v>
      </c>
      <c r="AI131" s="7">
        <v>0.89025304370443337</v>
      </c>
      <c r="AJ131" s="9">
        <f t="shared" si="186"/>
        <v>8</v>
      </c>
      <c r="AK131" s="38">
        <f>AVERAGE(AJ$6:AJ131)</f>
        <v>4.9655172413793105</v>
      </c>
      <c r="AL131" s="32"/>
      <c r="AM131" s="9"/>
      <c r="AN131" s="32"/>
      <c r="AO131" s="9">
        <v>116</v>
      </c>
      <c r="AP131" s="7">
        <v>0.51258140549180098</v>
      </c>
      <c r="AQ131" s="9">
        <f t="shared" si="187"/>
        <v>5</v>
      </c>
      <c r="AR131" s="38">
        <f>AVERAGE(AQ$6:AQ131)</f>
        <v>5.0258620689655169</v>
      </c>
      <c r="AS131" s="32"/>
      <c r="AT131" s="9"/>
      <c r="AU131" s="32"/>
      <c r="AV131" s="9">
        <v>116</v>
      </c>
      <c r="AW131" s="7">
        <v>6.0813106334535405E-2</v>
      </c>
      <c r="AX131" s="9">
        <f t="shared" si="188"/>
        <v>2</v>
      </c>
      <c r="AY131" s="38">
        <f>AVERAGE(AX$6:AX131)</f>
        <v>4.7586206896551726</v>
      </c>
      <c r="AZ131" s="32"/>
      <c r="BA131" s="9"/>
      <c r="BB131" s="32"/>
      <c r="BC131" s="9">
        <v>116</v>
      </c>
      <c r="BD131" s="7">
        <v>0.51907077833311632</v>
      </c>
      <c r="BE131" s="9">
        <f t="shared" si="189"/>
        <v>5</v>
      </c>
      <c r="BF131" s="38">
        <f>AVERAGE(BE$6:BE131)</f>
        <v>4.818965517241379</v>
      </c>
      <c r="BG131" s="32"/>
      <c r="BH131" s="9"/>
      <c r="BI131" s="32"/>
      <c r="BJ131" s="9">
        <v>116</v>
      </c>
      <c r="BK131" s="7">
        <v>0.25753621957846917</v>
      </c>
      <c r="BL131" s="9">
        <f t="shared" si="190"/>
        <v>3</v>
      </c>
      <c r="BM131" s="38">
        <f>AVERAGE(BL$6:BL131)</f>
        <v>5.1637931034482758</v>
      </c>
      <c r="BN131" s="32"/>
      <c r="BO131" s="9"/>
      <c r="BP131" s="32"/>
      <c r="BQ131" s="9">
        <v>116</v>
      </c>
      <c r="BR131" s="7">
        <v>0.63400866350275464</v>
      </c>
      <c r="BS131" s="9">
        <f t="shared" si="191"/>
        <v>6</v>
      </c>
      <c r="BT131" s="38">
        <f>AVERAGE(BS$6:BS131)</f>
        <v>4.9137931034482758</v>
      </c>
      <c r="BU131" s="32"/>
      <c r="BV131" s="9"/>
      <c r="BW131" s="32"/>
      <c r="BX131" s="9">
        <v>116</v>
      </c>
      <c r="BY131" s="7">
        <v>0.98592153735808097</v>
      </c>
      <c r="BZ131" s="9">
        <f t="shared" si="192"/>
        <v>10</v>
      </c>
      <c r="CA131" s="38">
        <f>AVERAGE(BZ$6:BZ131)</f>
        <v>4.931034482758621</v>
      </c>
      <c r="CB131" s="32"/>
      <c r="CC131" s="9"/>
      <c r="CD131" s="32"/>
      <c r="CE131" s="9">
        <v>116</v>
      </c>
      <c r="CF131" s="7">
        <v>0.94617672779713757</v>
      </c>
      <c r="CG131" s="9">
        <f t="shared" si="193"/>
        <v>9</v>
      </c>
      <c r="CH131" s="38">
        <f>AVERAGE(CG$6:CG131)</f>
        <v>5.1034482758620694</v>
      </c>
      <c r="CI131" s="32"/>
      <c r="CJ131" s="9"/>
      <c r="CK131" s="32"/>
      <c r="CL131" s="9">
        <v>116</v>
      </c>
      <c r="CM131" s="7">
        <v>0.86459022673079744</v>
      </c>
      <c r="CN131" s="9">
        <f t="shared" si="194"/>
        <v>7</v>
      </c>
      <c r="CO131" s="38">
        <f>AVERAGE(CN$6:CN131)</f>
        <v>4.75</v>
      </c>
      <c r="CP131" s="32"/>
      <c r="CQ131" s="9"/>
      <c r="CR131" s="32"/>
      <c r="CS131" s="9">
        <v>116</v>
      </c>
      <c r="CT131" s="7">
        <v>0.76992220035754144</v>
      </c>
      <c r="CU131" s="9">
        <f t="shared" si="195"/>
        <v>7</v>
      </c>
      <c r="CV131" s="38">
        <f>AVERAGE(CU$6:CU131)</f>
        <v>5.0775862068965516</v>
      </c>
      <c r="CW131" s="32"/>
      <c r="CX131" s="9"/>
      <c r="CY131" s="32"/>
      <c r="CZ131" s="9">
        <v>116</v>
      </c>
      <c r="DA131" s="7">
        <v>0.89095200435258448</v>
      </c>
      <c r="DB131" s="9">
        <f t="shared" si="196"/>
        <v>8</v>
      </c>
      <c r="DC131" s="38">
        <f>AVERAGE(DB$6:DB131)</f>
        <v>5.1637931034482758</v>
      </c>
      <c r="DD131" s="32"/>
      <c r="DE131" s="9"/>
      <c r="DF131" s="32"/>
      <c r="DG131" s="9">
        <v>116</v>
      </c>
      <c r="DH131" s="7">
        <v>0.83273271130747162</v>
      </c>
      <c r="DI131" s="9">
        <f t="shared" si="197"/>
        <v>7</v>
      </c>
      <c r="DJ131" s="38">
        <f>AVERAGE(DI$6:DI131)</f>
        <v>5.2241379310344831</v>
      </c>
      <c r="DK131" s="32"/>
      <c r="DL131" s="9"/>
      <c r="DM131" s="32"/>
      <c r="DN131" s="9">
        <v>116</v>
      </c>
      <c r="DO131" s="7">
        <v>0.45925483698374592</v>
      </c>
      <c r="DP131" s="9">
        <f t="shared" si="198"/>
        <v>5</v>
      </c>
      <c r="DQ131" s="38">
        <f>AVERAGE(DP$6:DP131)</f>
        <v>5.1637931034482758</v>
      </c>
      <c r="DR131" s="32"/>
      <c r="DS131" s="9"/>
      <c r="DT131" s="32"/>
      <c r="DU131" s="9">
        <v>116</v>
      </c>
      <c r="DV131" s="7">
        <v>0.16057258425280452</v>
      </c>
      <c r="DW131" s="9">
        <f t="shared" si="199"/>
        <v>3</v>
      </c>
      <c r="DX131" s="38">
        <f>AVERAGE(DW$6:DW131)</f>
        <v>5.0344827586206895</v>
      </c>
      <c r="DY131" s="32"/>
      <c r="DZ131" s="9"/>
      <c r="EA131" s="32"/>
      <c r="EB131" s="9">
        <v>116</v>
      </c>
      <c r="EC131" s="7">
        <v>0.57069791891262867</v>
      </c>
      <c r="ED131" s="9">
        <f t="shared" si="200"/>
        <v>5</v>
      </c>
      <c r="EE131" s="38">
        <f>AVERAGE(ED$6:ED131)</f>
        <v>4.5862068965517242</v>
      </c>
      <c r="EF131" s="32"/>
      <c r="EG131" s="9"/>
      <c r="EH131" s="32"/>
      <c r="EI131" s="9">
        <v>116</v>
      </c>
      <c r="EJ131" s="7">
        <v>0.85859425528906286</v>
      </c>
      <c r="EK131" s="9">
        <f t="shared" si="201"/>
        <v>7</v>
      </c>
      <c r="EL131" s="38">
        <f>AVERAGE(EK$6:EK131)</f>
        <v>5.2155172413793105</v>
      </c>
      <c r="EM131" s="32"/>
      <c r="EN131" s="9"/>
      <c r="EO131" s="32"/>
      <c r="EP131" s="9">
        <v>116</v>
      </c>
      <c r="EQ131" s="7">
        <v>0.15607731373165734</v>
      </c>
      <c r="ER131" s="9">
        <f t="shared" si="202"/>
        <v>3</v>
      </c>
      <c r="ES131" s="38">
        <f>AVERAGE(ER$6:ER131)</f>
        <v>5.1206896551724137</v>
      </c>
      <c r="ET131" s="32"/>
    </row>
    <row r="132" spans="5:150" x14ac:dyDescent="0.25">
      <c r="E132" s="7"/>
      <c r="L132" s="32"/>
      <c r="M132" s="9">
        <v>117</v>
      </c>
      <c r="N132" s="7">
        <v>0.81064251635689288</v>
      </c>
      <c r="O132" s="9">
        <f t="shared" si="203"/>
        <v>7</v>
      </c>
      <c r="P132" s="38">
        <f>AVERAGE(O$6:O132)</f>
        <v>5.017094017094017</v>
      </c>
      <c r="Q132" s="32"/>
      <c r="R132" s="9"/>
      <c r="S132" s="32"/>
      <c r="T132" s="9">
        <v>117</v>
      </c>
      <c r="U132" s="7">
        <v>0.52158709109062329</v>
      </c>
      <c r="V132" s="9">
        <f t="shared" si="184"/>
        <v>5</v>
      </c>
      <c r="W132" s="38">
        <f>AVERAGE(V$6:V132)</f>
        <v>4.9316239316239319</v>
      </c>
      <c r="X132" s="32"/>
      <c r="Y132" s="9"/>
      <c r="Z132" s="32"/>
      <c r="AA132" s="9">
        <v>117</v>
      </c>
      <c r="AB132" s="7">
        <v>0.31513496278785169</v>
      </c>
      <c r="AC132" s="9">
        <f t="shared" si="185"/>
        <v>4</v>
      </c>
      <c r="AD132" s="38">
        <f>AVERAGE(AC$6:AC132)</f>
        <v>5.0854700854700852</v>
      </c>
      <c r="AE132" s="32"/>
      <c r="AF132" s="9"/>
      <c r="AG132" s="32"/>
      <c r="AH132" s="9">
        <v>117</v>
      </c>
      <c r="AI132" s="7">
        <v>0.48031750781228766</v>
      </c>
      <c r="AJ132" s="9">
        <f t="shared" si="186"/>
        <v>5</v>
      </c>
      <c r="AK132" s="38">
        <f>AVERAGE(AJ$6:AJ132)</f>
        <v>4.9658119658119659</v>
      </c>
      <c r="AL132" s="32"/>
      <c r="AM132" s="9"/>
      <c r="AN132" s="32"/>
      <c r="AO132" s="9">
        <v>117</v>
      </c>
      <c r="AP132" s="7">
        <v>0.9794238283066079</v>
      </c>
      <c r="AQ132" s="9">
        <f t="shared" si="187"/>
        <v>10</v>
      </c>
      <c r="AR132" s="38">
        <f>AVERAGE(AQ$6:AQ132)</f>
        <v>5.0683760683760681</v>
      </c>
      <c r="AS132" s="32"/>
      <c r="AT132" s="9"/>
      <c r="AU132" s="32"/>
      <c r="AV132" s="9">
        <v>117</v>
      </c>
      <c r="AW132" s="7">
        <v>0.31874976231483743</v>
      </c>
      <c r="AX132" s="9">
        <f t="shared" si="188"/>
        <v>4</v>
      </c>
      <c r="AY132" s="38">
        <f>AVERAGE(AX$6:AX132)</f>
        <v>4.7521367521367521</v>
      </c>
      <c r="AZ132" s="32"/>
      <c r="BA132" s="9"/>
      <c r="BB132" s="32"/>
      <c r="BC132" s="9">
        <v>117</v>
      </c>
      <c r="BD132" s="7">
        <v>0.32145084158401005</v>
      </c>
      <c r="BE132" s="9">
        <f t="shared" si="189"/>
        <v>4</v>
      </c>
      <c r="BF132" s="38">
        <f>AVERAGE(BE$6:BE132)</f>
        <v>4.8119658119658117</v>
      </c>
      <c r="BG132" s="32"/>
      <c r="BH132" s="9"/>
      <c r="BI132" s="32"/>
      <c r="BJ132" s="9">
        <v>117</v>
      </c>
      <c r="BK132" s="7">
        <v>0.63115308294072747</v>
      </c>
      <c r="BL132" s="9">
        <f t="shared" si="190"/>
        <v>6</v>
      </c>
      <c r="BM132" s="38">
        <f>AVERAGE(BL$6:BL132)</f>
        <v>5.1709401709401712</v>
      </c>
      <c r="BN132" s="32"/>
      <c r="BO132" s="9"/>
      <c r="BP132" s="32"/>
      <c r="BQ132" s="9">
        <v>117</v>
      </c>
      <c r="BR132" s="7">
        <v>0.51446170394774526</v>
      </c>
      <c r="BS132" s="9">
        <f t="shared" si="191"/>
        <v>5</v>
      </c>
      <c r="BT132" s="38">
        <f>AVERAGE(BS$6:BS132)</f>
        <v>4.9145299145299148</v>
      </c>
      <c r="BU132" s="32"/>
      <c r="BV132" s="9"/>
      <c r="BW132" s="32"/>
      <c r="BX132" s="9">
        <v>117</v>
      </c>
      <c r="BY132" s="7">
        <v>0.74959173944080248</v>
      </c>
      <c r="BZ132" s="9">
        <f t="shared" si="192"/>
        <v>6</v>
      </c>
      <c r="CA132" s="38">
        <f>AVERAGE(BZ$6:BZ132)</f>
        <v>4.9401709401709404</v>
      </c>
      <c r="CB132" s="32"/>
      <c r="CC132" s="9"/>
      <c r="CD132" s="32"/>
      <c r="CE132" s="9">
        <v>117</v>
      </c>
      <c r="CF132" s="7">
        <v>0.28101481555495411</v>
      </c>
      <c r="CG132" s="9">
        <f t="shared" si="193"/>
        <v>4</v>
      </c>
      <c r="CH132" s="38">
        <f>AVERAGE(CG$6:CG132)</f>
        <v>5.0940170940170937</v>
      </c>
      <c r="CI132" s="32"/>
      <c r="CJ132" s="9"/>
      <c r="CK132" s="32"/>
      <c r="CL132" s="9">
        <v>117</v>
      </c>
      <c r="CM132" s="7">
        <v>0.26396676638978533</v>
      </c>
      <c r="CN132" s="9">
        <f t="shared" si="194"/>
        <v>3</v>
      </c>
      <c r="CO132" s="38">
        <f>AVERAGE(CN$6:CN132)</f>
        <v>4.7350427350427351</v>
      </c>
      <c r="CP132" s="32"/>
      <c r="CQ132" s="9"/>
      <c r="CR132" s="32"/>
      <c r="CS132" s="9">
        <v>117</v>
      </c>
      <c r="CT132" s="7">
        <v>0.50993318416294642</v>
      </c>
      <c r="CU132" s="9">
        <f t="shared" si="195"/>
        <v>5</v>
      </c>
      <c r="CV132" s="38">
        <f>AVERAGE(CU$6:CU132)</f>
        <v>5.0769230769230766</v>
      </c>
      <c r="CW132" s="32"/>
      <c r="CX132" s="9"/>
      <c r="CY132" s="32"/>
      <c r="CZ132" s="9">
        <v>117</v>
      </c>
      <c r="DA132" s="7">
        <v>0.84028224161011167</v>
      </c>
      <c r="DB132" s="9">
        <f t="shared" si="196"/>
        <v>7</v>
      </c>
      <c r="DC132" s="38">
        <f>AVERAGE(DB$6:DB132)</f>
        <v>5.1794871794871797</v>
      </c>
      <c r="DD132" s="32"/>
      <c r="DE132" s="9"/>
      <c r="DF132" s="32"/>
      <c r="DG132" s="9">
        <v>117</v>
      </c>
      <c r="DH132" s="7">
        <v>0.85734632337698713</v>
      </c>
      <c r="DI132" s="9">
        <f t="shared" si="197"/>
        <v>7</v>
      </c>
      <c r="DJ132" s="38">
        <f>AVERAGE(DI$6:DI132)</f>
        <v>5.2393162393162394</v>
      </c>
      <c r="DK132" s="32"/>
      <c r="DL132" s="9"/>
      <c r="DM132" s="32"/>
      <c r="DN132" s="9">
        <v>117</v>
      </c>
      <c r="DO132" s="7">
        <v>0.51624104665825143</v>
      </c>
      <c r="DP132" s="9">
        <f t="shared" si="198"/>
        <v>5</v>
      </c>
      <c r="DQ132" s="38">
        <f>AVERAGE(DP$6:DP132)</f>
        <v>5.1623931623931627</v>
      </c>
      <c r="DR132" s="32"/>
      <c r="DS132" s="9"/>
      <c r="DT132" s="32"/>
      <c r="DU132" s="9">
        <v>117</v>
      </c>
      <c r="DV132" s="7">
        <v>0.69488089022343047</v>
      </c>
      <c r="DW132" s="9">
        <f t="shared" si="199"/>
        <v>6</v>
      </c>
      <c r="DX132" s="38">
        <f>AVERAGE(DW$6:DW132)</f>
        <v>5.0427350427350426</v>
      </c>
      <c r="DY132" s="32"/>
      <c r="DZ132" s="9"/>
      <c r="EA132" s="32"/>
      <c r="EB132" s="9">
        <v>117</v>
      </c>
      <c r="EC132" s="7">
        <v>0.9094282400328666</v>
      </c>
      <c r="ED132" s="9">
        <f t="shared" si="200"/>
        <v>8</v>
      </c>
      <c r="EE132" s="38">
        <f>AVERAGE(ED$6:ED132)</f>
        <v>4.615384615384615</v>
      </c>
      <c r="EF132" s="32"/>
      <c r="EG132" s="9"/>
      <c r="EH132" s="32"/>
      <c r="EI132" s="9">
        <v>117</v>
      </c>
      <c r="EJ132" s="7">
        <v>0.17604147389647551</v>
      </c>
      <c r="EK132" s="9">
        <f t="shared" si="201"/>
        <v>3</v>
      </c>
      <c r="EL132" s="38">
        <f>AVERAGE(EK$6:EK132)</f>
        <v>5.1965811965811968</v>
      </c>
      <c r="EM132" s="32"/>
      <c r="EN132" s="9"/>
      <c r="EO132" s="32"/>
      <c r="EP132" s="9">
        <v>117</v>
      </c>
      <c r="EQ132" s="7">
        <v>0.37981657183263451</v>
      </c>
      <c r="ER132" s="9">
        <f t="shared" si="202"/>
        <v>4</v>
      </c>
      <c r="ES132" s="38">
        <f>AVERAGE(ER$6:ER132)</f>
        <v>5.1111111111111107</v>
      </c>
      <c r="ET132" s="32"/>
    </row>
    <row r="133" spans="5:150" x14ac:dyDescent="0.25">
      <c r="E133" s="7"/>
      <c r="L133" s="32"/>
      <c r="M133" s="9">
        <v>118</v>
      </c>
      <c r="N133" s="7">
        <v>0.48089592382893898</v>
      </c>
      <c r="O133" s="9">
        <f t="shared" si="203"/>
        <v>5</v>
      </c>
      <c r="P133" s="38">
        <f>AVERAGE(O$6:O133)</f>
        <v>5.0169491525423728</v>
      </c>
      <c r="Q133" s="32"/>
      <c r="R133" s="9"/>
      <c r="S133" s="32"/>
      <c r="T133" s="9">
        <v>118</v>
      </c>
      <c r="U133" s="7">
        <v>0.61735191170009784</v>
      </c>
      <c r="V133" s="9">
        <f t="shared" si="184"/>
        <v>6</v>
      </c>
      <c r="W133" s="38">
        <f>AVERAGE(V$6:V133)</f>
        <v>4.9406779661016946</v>
      </c>
      <c r="X133" s="32"/>
      <c r="Y133" s="9"/>
      <c r="Z133" s="32"/>
      <c r="AA133" s="9">
        <v>118</v>
      </c>
      <c r="AB133" s="7">
        <v>0.29450583577272482</v>
      </c>
      <c r="AC133" s="9">
        <f t="shared" si="185"/>
        <v>4</v>
      </c>
      <c r="AD133" s="38">
        <f>AVERAGE(AC$6:AC133)</f>
        <v>5.0762711864406782</v>
      </c>
      <c r="AE133" s="32"/>
      <c r="AF133" s="9"/>
      <c r="AG133" s="32"/>
      <c r="AH133" s="9">
        <v>118</v>
      </c>
      <c r="AI133" s="7">
        <v>0.36351652335724793</v>
      </c>
      <c r="AJ133" s="9">
        <f t="shared" si="186"/>
        <v>4</v>
      </c>
      <c r="AK133" s="38">
        <f>AVERAGE(AJ$6:AJ133)</f>
        <v>4.9576271186440675</v>
      </c>
      <c r="AL133" s="32"/>
      <c r="AM133" s="9"/>
      <c r="AN133" s="32"/>
      <c r="AO133" s="9">
        <v>118</v>
      </c>
      <c r="AP133" s="7">
        <v>0.40327157793217339</v>
      </c>
      <c r="AQ133" s="9">
        <f t="shared" si="187"/>
        <v>4</v>
      </c>
      <c r="AR133" s="38">
        <f>AVERAGE(AQ$6:AQ133)</f>
        <v>5.0593220338983054</v>
      </c>
      <c r="AS133" s="32"/>
      <c r="AT133" s="9"/>
      <c r="AU133" s="32"/>
      <c r="AV133" s="9">
        <v>118</v>
      </c>
      <c r="AW133" s="7">
        <v>0.15612759217037819</v>
      </c>
      <c r="AX133" s="9">
        <f t="shared" si="188"/>
        <v>3</v>
      </c>
      <c r="AY133" s="38">
        <f>AVERAGE(AX$6:AX133)</f>
        <v>4.7372881355932206</v>
      </c>
      <c r="AZ133" s="32"/>
      <c r="BA133" s="9"/>
      <c r="BB133" s="32"/>
      <c r="BC133" s="9">
        <v>118</v>
      </c>
      <c r="BD133" s="7">
        <v>0.54718341579427943</v>
      </c>
      <c r="BE133" s="9">
        <f t="shared" si="189"/>
        <v>5</v>
      </c>
      <c r="BF133" s="38">
        <f>AVERAGE(BE$6:BE133)</f>
        <v>4.8135593220338979</v>
      </c>
      <c r="BG133" s="32"/>
      <c r="BH133" s="9"/>
      <c r="BI133" s="32"/>
      <c r="BJ133" s="9">
        <v>118</v>
      </c>
      <c r="BK133" s="7">
        <v>4.3837714503752068E-2</v>
      </c>
      <c r="BL133" s="9">
        <f t="shared" si="190"/>
        <v>2</v>
      </c>
      <c r="BM133" s="38">
        <f>AVERAGE(BL$6:BL133)</f>
        <v>5.1440677966101696</v>
      </c>
      <c r="BN133" s="32"/>
      <c r="BO133" s="9"/>
      <c r="BP133" s="32"/>
      <c r="BQ133" s="9">
        <v>118</v>
      </c>
      <c r="BR133" s="7">
        <v>0.94777753311791457</v>
      </c>
      <c r="BS133" s="9">
        <f t="shared" si="191"/>
        <v>9</v>
      </c>
      <c r="BT133" s="38">
        <f>AVERAGE(BS$6:BS133)</f>
        <v>4.9491525423728815</v>
      </c>
      <c r="BU133" s="32"/>
      <c r="BV133" s="9"/>
      <c r="BW133" s="32"/>
      <c r="BX133" s="9">
        <v>118</v>
      </c>
      <c r="BY133" s="7">
        <v>3.9745812042383477E-2</v>
      </c>
      <c r="BZ133" s="9">
        <f t="shared" si="192"/>
        <v>1</v>
      </c>
      <c r="CA133" s="38">
        <f>AVERAGE(BZ$6:BZ133)</f>
        <v>4.906779661016949</v>
      </c>
      <c r="CB133" s="32"/>
      <c r="CC133" s="9"/>
      <c r="CD133" s="32"/>
      <c r="CE133" s="9">
        <v>118</v>
      </c>
      <c r="CF133" s="7">
        <v>0.72263001083047129</v>
      </c>
      <c r="CG133" s="9">
        <f t="shared" si="193"/>
        <v>6</v>
      </c>
      <c r="CH133" s="38">
        <f>AVERAGE(CG$6:CG133)</f>
        <v>5.101694915254237</v>
      </c>
      <c r="CI133" s="32"/>
      <c r="CJ133" s="9"/>
      <c r="CK133" s="32"/>
      <c r="CL133" s="9">
        <v>118</v>
      </c>
      <c r="CM133" s="7">
        <v>0.94288469076855108</v>
      </c>
      <c r="CN133" s="9">
        <f t="shared" si="194"/>
        <v>9</v>
      </c>
      <c r="CO133" s="38">
        <f>AVERAGE(CN$6:CN133)</f>
        <v>4.7711864406779663</v>
      </c>
      <c r="CP133" s="32"/>
      <c r="CQ133" s="9"/>
      <c r="CR133" s="32"/>
      <c r="CS133" s="9">
        <v>118</v>
      </c>
      <c r="CT133" s="7">
        <v>0.61558984394650906</v>
      </c>
      <c r="CU133" s="9">
        <f t="shared" si="195"/>
        <v>5</v>
      </c>
      <c r="CV133" s="38">
        <f>AVERAGE(CU$6:CU133)</f>
        <v>5.0762711864406782</v>
      </c>
      <c r="CW133" s="32"/>
      <c r="CX133" s="9"/>
      <c r="CY133" s="32"/>
      <c r="CZ133" s="9">
        <v>118</v>
      </c>
      <c r="DA133" s="7">
        <v>0.74535442923661321</v>
      </c>
      <c r="DB133" s="9">
        <f t="shared" si="196"/>
        <v>6</v>
      </c>
      <c r="DC133" s="38">
        <f>AVERAGE(DB$6:DB133)</f>
        <v>5.1864406779661021</v>
      </c>
      <c r="DD133" s="32"/>
      <c r="DE133" s="9"/>
      <c r="DF133" s="32"/>
      <c r="DG133" s="9">
        <v>118</v>
      </c>
      <c r="DH133" s="7">
        <v>0.5333565391774755</v>
      </c>
      <c r="DI133" s="9">
        <f t="shared" si="197"/>
        <v>5</v>
      </c>
      <c r="DJ133" s="38">
        <f>AVERAGE(DI$6:DI133)</f>
        <v>5.2372881355932206</v>
      </c>
      <c r="DK133" s="32"/>
      <c r="DL133" s="9"/>
      <c r="DM133" s="32"/>
      <c r="DN133" s="9">
        <v>118</v>
      </c>
      <c r="DO133" s="7">
        <v>0.86413902902859263</v>
      </c>
      <c r="DP133" s="9">
        <f t="shared" si="198"/>
        <v>7</v>
      </c>
      <c r="DQ133" s="38">
        <f>AVERAGE(DP$6:DP133)</f>
        <v>5.1779661016949152</v>
      </c>
      <c r="DR133" s="32"/>
      <c r="DS133" s="9"/>
      <c r="DT133" s="32"/>
      <c r="DU133" s="9">
        <v>118</v>
      </c>
      <c r="DV133" s="7">
        <v>0.86365846509579569</v>
      </c>
      <c r="DW133" s="9">
        <f t="shared" si="199"/>
        <v>7</v>
      </c>
      <c r="DX133" s="38">
        <f>AVERAGE(DW$6:DW133)</f>
        <v>5.0593220338983054</v>
      </c>
      <c r="DY133" s="32"/>
      <c r="DZ133" s="9"/>
      <c r="EA133" s="32"/>
      <c r="EB133" s="9">
        <v>118</v>
      </c>
      <c r="EC133" s="7">
        <v>0.35554361695540138</v>
      </c>
      <c r="ED133" s="9">
        <f t="shared" si="200"/>
        <v>4</v>
      </c>
      <c r="EE133" s="38">
        <f>AVERAGE(ED$6:ED133)</f>
        <v>4.6101694915254239</v>
      </c>
      <c r="EF133" s="32"/>
      <c r="EG133" s="9"/>
      <c r="EH133" s="32"/>
      <c r="EI133" s="9">
        <v>118</v>
      </c>
      <c r="EJ133" s="7">
        <v>0.66135905671399087</v>
      </c>
      <c r="EK133" s="9">
        <f t="shared" si="201"/>
        <v>6</v>
      </c>
      <c r="EL133" s="38">
        <f>AVERAGE(EK$6:EK133)</f>
        <v>5.2033898305084749</v>
      </c>
      <c r="EM133" s="32"/>
      <c r="EN133" s="9"/>
      <c r="EO133" s="32"/>
      <c r="EP133" s="9">
        <v>118</v>
      </c>
      <c r="EQ133" s="7">
        <v>0.60553449383587576</v>
      </c>
      <c r="ER133" s="9">
        <f t="shared" si="202"/>
        <v>5</v>
      </c>
      <c r="ES133" s="38">
        <f>AVERAGE(ER$6:ER133)</f>
        <v>5.1101694915254239</v>
      </c>
      <c r="ET133" s="32"/>
    </row>
    <row r="134" spans="5:150" x14ac:dyDescent="0.25">
      <c r="E134" s="7"/>
      <c r="L134" s="32"/>
      <c r="M134" s="9">
        <v>119</v>
      </c>
      <c r="N134" s="7">
        <v>0.66140077193267643</v>
      </c>
      <c r="O134" s="9">
        <f t="shared" si="203"/>
        <v>6</v>
      </c>
      <c r="P134" s="38">
        <f>AVERAGE(O$6:O134)</f>
        <v>5.0252100840336134</v>
      </c>
      <c r="Q134" s="32"/>
      <c r="R134" s="9"/>
      <c r="S134" s="32"/>
      <c r="T134" s="9">
        <v>119</v>
      </c>
      <c r="U134" s="7">
        <v>0.93623452557949349</v>
      </c>
      <c r="V134" s="9">
        <f t="shared" si="184"/>
        <v>9</v>
      </c>
      <c r="W134" s="38">
        <f>AVERAGE(V$6:V134)</f>
        <v>4.9747899159663866</v>
      </c>
      <c r="X134" s="32"/>
      <c r="Y134" s="9"/>
      <c r="Z134" s="32"/>
      <c r="AA134" s="9">
        <v>119</v>
      </c>
      <c r="AB134" s="7">
        <v>0.67050542298238724</v>
      </c>
      <c r="AC134" s="9">
        <f t="shared" si="185"/>
        <v>6</v>
      </c>
      <c r="AD134" s="38">
        <f>AVERAGE(AC$6:AC134)</f>
        <v>5.0840336134453779</v>
      </c>
      <c r="AE134" s="32"/>
      <c r="AF134" s="9"/>
      <c r="AG134" s="32"/>
      <c r="AH134" s="9">
        <v>119</v>
      </c>
      <c r="AI134" s="7">
        <v>0.21100952901178971</v>
      </c>
      <c r="AJ134" s="9">
        <f t="shared" si="186"/>
        <v>3</v>
      </c>
      <c r="AK134" s="38">
        <f>AVERAGE(AJ$6:AJ134)</f>
        <v>4.9411764705882355</v>
      </c>
      <c r="AL134" s="32"/>
      <c r="AM134" s="9"/>
      <c r="AN134" s="32"/>
      <c r="AO134" s="9">
        <v>119</v>
      </c>
      <c r="AP134" s="7">
        <v>0.68486263509839773</v>
      </c>
      <c r="AQ134" s="9">
        <f t="shared" si="187"/>
        <v>6</v>
      </c>
      <c r="AR134" s="38">
        <f>AVERAGE(AQ$6:AQ134)</f>
        <v>5.0672268907563023</v>
      </c>
      <c r="AS134" s="32"/>
      <c r="AT134" s="9"/>
      <c r="AU134" s="32"/>
      <c r="AV134" s="9">
        <v>119</v>
      </c>
      <c r="AW134" s="7">
        <v>0.40570996777387336</v>
      </c>
      <c r="AX134" s="9">
        <f t="shared" si="188"/>
        <v>4</v>
      </c>
      <c r="AY134" s="38">
        <f>AVERAGE(AX$6:AX134)</f>
        <v>4.73109243697479</v>
      </c>
      <c r="AZ134" s="32"/>
      <c r="BA134" s="9"/>
      <c r="BB134" s="32"/>
      <c r="BC134" s="9">
        <v>119</v>
      </c>
      <c r="BD134" s="7">
        <v>0.79945913408300839</v>
      </c>
      <c r="BE134" s="9">
        <f t="shared" si="189"/>
        <v>7</v>
      </c>
      <c r="BF134" s="38">
        <f>AVERAGE(BE$6:BE134)</f>
        <v>4.8319327731092434</v>
      </c>
      <c r="BG134" s="32"/>
      <c r="BH134" s="9"/>
      <c r="BI134" s="32"/>
      <c r="BJ134" s="9">
        <v>119</v>
      </c>
      <c r="BK134" s="7">
        <v>0.57642296946141869</v>
      </c>
      <c r="BL134" s="9">
        <f t="shared" si="190"/>
        <v>5</v>
      </c>
      <c r="BM134" s="38">
        <f>AVERAGE(BL$6:BL134)</f>
        <v>5.1428571428571432</v>
      </c>
      <c r="BN134" s="32"/>
      <c r="BO134" s="9"/>
      <c r="BP134" s="32"/>
      <c r="BQ134" s="9">
        <v>119</v>
      </c>
      <c r="BR134" s="7">
        <v>0.10542955575510859</v>
      </c>
      <c r="BS134" s="9">
        <f t="shared" si="191"/>
        <v>2</v>
      </c>
      <c r="BT134" s="38">
        <f>AVERAGE(BS$6:BS134)</f>
        <v>4.9243697478991599</v>
      </c>
      <c r="BU134" s="32"/>
      <c r="BV134" s="9"/>
      <c r="BW134" s="32"/>
      <c r="BX134" s="9">
        <v>119</v>
      </c>
      <c r="BY134" s="7">
        <v>0.46909320185659453</v>
      </c>
      <c r="BZ134" s="9">
        <f t="shared" si="192"/>
        <v>5</v>
      </c>
      <c r="CA134" s="38">
        <f>AVERAGE(BZ$6:BZ134)</f>
        <v>4.9075630252100844</v>
      </c>
      <c r="CB134" s="32"/>
      <c r="CC134" s="9"/>
      <c r="CD134" s="32"/>
      <c r="CE134" s="9">
        <v>119</v>
      </c>
      <c r="CF134" s="7">
        <v>0.15445557772181928</v>
      </c>
      <c r="CG134" s="9">
        <f t="shared" si="193"/>
        <v>3</v>
      </c>
      <c r="CH134" s="38">
        <f>AVERAGE(CG$6:CG134)</f>
        <v>5.0840336134453779</v>
      </c>
      <c r="CI134" s="32"/>
      <c r="CJ134" s="9"/>
      <c r="CK134" s="32"/>
      <c r="CL134" s="9">
        <v>119</v>
      </c>
      <c r="CM134" s="7">
        <v>0.58561574583291076</v>
      </c>
      <c r="CN134" s="9">
        <f t="shared" si="194"/>
        <v>5</v>
      </c>
      <c r="CO134" s="38">
        <f>AVERAGE(CN$6:CN134)</f>
        <v>4.7731092436974789</v>
      </c>
      <c r="CP134" s="32"/>
      <c r="CQ134" s="9"/>
      <c r="CR134" s="32"/>
      <c r="CS134" s="9">
        <v>119</v>
      </c>
      <c r="CT134" s="7">
        <v>2.8769632481271401E-2</v>
      </c>
      <c r="CU134" s="9">
        <f t="shared" si="195"/>
        <v>1</v>
      </c>
      <c r="CV134" s="38">
        <f>AVERAGE(CU$6:CU134)</f>
        <v>5.0420168067226889</v>
      </c>
      <c r="CW134" s="32"/>
      <c r="CX134" s="9"/>
      <c r="CY134" s="32"/>
      <c r="CZ134" s="9">
        <v>119</v>
      </c>
      <c r="DA134" s="7">
        <v>0.85753105688490905</v>
      </c>
      <c r="DB134" s="9">
        <f t="shared" si="196"/>
        <v>7</v>
      </c>
      <c r="DC134" s="38">
        <f>AVERAGE(DB$6:DB134)</f>
        <v>5.2016806722689077</v>
      </c>
      <c r="DD134" s="32"/>
      <c r="DE134" s="9"/>
      <c r="DF134" s="32"/>
      <c r="DG134" s="9">
        <v>119</v>
      </c>
      <c r="DH134" s="7">
        <v>0.67861767642898485</v>
      </c>
      <c r="DI134" s="9">
        <f t="shared" si="197"/>
        <v>6</v>
      </c>
      <c r="DJ134" s="38">
        <f>AVERAGE(DI$6:DI134)</f>
        <v>5.2436974789915967</v>
      </c>
      <c r="DK134" s="32"/>
      <c r="DL134" s="9"/>
      <c r="DM134" s="32"/>
      <c r="DN134" s="9">
        <v>119</v>
      </c>
      <c r="DO134" s="7">
        <v>3.1599949754308909E-2</v>
      </c>
      <c r="DP134" s="9">
        <f t="shared" si="198"/>
        <v>1</v>
      </c>
      <c r="DQ134" s="38">
        <f>AVERAGE(DP$6:DP134)</f>
        <v>5.1428571428571432</v>
      </c>
      <c r="DR134" s="32"/>
      <c r="DS134" s="9"/>
      <c r="DT134" s="32"/>
      <c r="DU134" s="9">
        <v>119</v>
      </c>
      <c r="DV134" s="7">
        <v>0.7841095243638847</v>
      </c>
      <c r="DW134" s="9">
        <f t="shared" si="199"/>
        <v>7</v>
      </c>
      <c r="DX134" s="38">
        <f>AVERAGE(DW$6:DW134)</f>
        <v>5.0756302521008401</v>
      </c>
      <c r="DY134" s="32"/>
      <c r="DZ134" s="9"/>
      <c r="EA134" s="32"/>
      <c r="EB134" s="9">
        <v>119</v>
      </c>
      <c r="EC134" s="7">
        <v>0.10496273206081241</v>
      </c>
      <c r="ED134" s="9">
        <f t="shared" si="200"/>
        <v>2</v>
      </c>
      <c r="EE134" s="38">
        <f>AVERAGE(ED$6:ED134)</f>
        <v>4.5882352941176467</v>
      </c>
      <c r="EF134" s="32"/>
      <c r="EG134" s="9"/>
      <c r="EH134" s="32"/>
      <c r="EI134" s="9">
        <v>119</v>
      </c>
      <c r="EJ134" s="7">
        <v>0.59991420773440041</v>
      </c>
      <c r="EK134" s="9">
        <f t="shared" si="201"/>
        <v>5</v>
      </c>
      <c r="EL134" s="38">
        <f>AVERAGE(EK$6:EK134)</f>
        <v>5.2016806722689077</v>
      </c>
      <c r="EM134" s="32"/>
      <c r="EN134" s="9"/>
      <c r="EO134" s="32"/>
      <c r="EP134" s="9">
        <v>119</v>
      </c>
      <c r="EQ134" s="7">
        <v>0.85026432550512254</v>
      </c>
      <c r="ER134" s="9">
        <f t="shared" si="202"/>
        <v>7</v>
      </c>
      <c r="ES134" s="38">
        <f>AVERAGE(ER$6:ER134)</f>
        <v>5.1260504201680677</v>
      </c>
      <c r="ET134" s="32"/>
    </row>
    <row r="135" spans="5:150" x14ac:dyDescent="0.25">
      <c r="E135" s="7"/>
      <c r="L135" s="32"/>
      <c r="M135" s="9">
        <v>120</v>
      </c>
      <c r="N135" s="7">
        <v>0.62139754535746761</v>
      </c>
      <c r="O135" s="9">
        <f t="shared" si="203"/>
        <v>6</v>
      </c>
      <c r="P135" s="38">
        <f>AVERAGE(O$6:O135)</f>
        <v>5.0333333333333332</v>
      </c>
      <c r="Q135" s="32"/>
      <c r="R135" s="9"/>
      <c r="S135" s="32"/>
      <c r="T135" s="9">
        <v>120</v>
      </c>
      <c r="U135" s="7">
        <v>0.16078067346825264</v>
      </c>
      <c r="V135" s="9">
        <f t="shared" si="184"/>
        <v>3</v>
      </c>
      <c r="W135" s="38">
        <f>AVERAGE(V$6:V135)</f>
        <v>4.958333333333333</v>
      </c>
      <c r="X135" s="32"/>
      <c r="Y135" s="9"/>
      <c r="Z135" s="32"/>
      <c r="AA135" s="9">
        <v>120</v>
      </c>
      <c r="AB135" s="7">
        <v>0.31029283595853485</v>
      </c>
      <c r="AC135" s="9">
        <f t="shared" si="185"/>
        <v>4</v>
      </c>
      <c r="AD135" s="38">
        <f>AVERAGE(AC$6:AC135)</f>
        <v>5.0750000000000002</v>
      </c>
      <c r="AE135" s="32"/>
      <c r="AF135" s="9"/>
      <c r="AG135" s="32"/>
      <c r="AH135" s="9">
        <v>120</v>
      </c>
      <c r="AI135" s="7">
        <v>0.66990744110080414</v>
      </c>
      <c r="AJ135" s="9">
        <f t="shared" si="186"/>
        <v>6</v>
      </c>
      <c r="AK135" s="38">
        <f>AVERAGE(AJ$6:AJ135)</f>
        <v>4.95</v>
      </c>
      <c r="AL135" s="32"/>
      <c r="AM135" s="9"/>
      <c r="AN135" s="32"/>
      <c r="AO135" s="9">
        <v>120</v>
      </c>
      <c r="AP135" s="7">
        <v>0.7042570757039357</v>
      </c>
      <c r="AQ135" s="9">
        <f t="shared" si="187"/>
        <v>6</v>
      </c>
      <c r="AR135" s="38">
        <f>AVERAGE(AQ$6:AQ135)</f>
        <v>5.0750000000000002</v>
      </c>
      <c r="AS135" s="32"/>
      <c r="AT135" s="9"/>
      <c r="AU135" s="32"/>
      <c r="AV135" s="9">
        <v>120</v>
      </c>
      <c r="AW135" s="7">
        <v>0.9406334035738837</v>
      </c>
      <c r="AX135" s="9">
        <f t="shared" si="188"/>
        <v>9</v>
      </c>
      <c r="AY135" s="38">
        <f>AVERAGE(AX$6:AX135)</f>
        <v>4.7666666666666666</v>
      </c>
      <c r="AZ135" s="32"/>
      <c r="BA135" s="9"/>
      <c r="BB135" s="32"/>
      <c r="BC135" s="9">
        <v>120</v>
      </c>
      <c r="BD135" s="7">
        <v>0.72145405277842656</v>
      </c>
      <c r="BE135" s="9">
        <f t="shared" si="189"/>
        <v>6</v>
      </c>
      <c r="BF135" s="38">
        <f>AVERAGE(BE$6:BE135)</f>
        <v>4.8416666666666668</v>
      </c>
      <c r="BG135" s="32"/>
      <c r="BH135" s="9"/>
      <c r="BI135" s="32"/>
      <c r="BJ135" s="9">
        <v>120</v>
      </c>
      <c r="BK135" s="7">
        <v>0.8578292726597283</v>
      </c>
      <c r="BL135" s="9">
        <f t="shared" si="190"/>
        <v>7</v>
      </c>
      <c r="BM135" s="38">
        <f>AVERAGE(BL$6:BL135)</f>
        <v>5.1583333333333332</v>
      </c>
      <c r="BN135" s="32"/>
      <c r="BO135" s="9"/>
      <c r="BP135" s="32"/>
      <c r="BQ135" s="9">
        <v>120</v>
      </c>
      <c r="BR135" s="7">
        <v>0.2962212139100302</v>
      </c>
      <c r="BS135" s="9">
        <f t="shared" si="191"/>
        <v>4</v>
      </c>
      <c r="BT135" s="38">
        <f>AVERAGE(BS$6:BS135)</f>
        <v>4.916666666666667</v>
      </c>
      <c r="BU135" s="32"/>
      <c r="BV135" s="9"/>
      <c r="BW135" s="32"/>
      <c r="BX135" s="9">
        <v>120</v>
      </c>
      <c r="BY135" s="7">
        <v>0.58299895617528819</v>
      </c>
      <c r="BZ135" s="9">
        <f t="shared" si="192"/>
        <v>5</v>
      </c>
      <c r="CA135" s="38">
        <f>AVERAGE(BZ$6:BZ135)</f>
        <v>4.9083333333333332</v>
      </c>
      <c r="CB135" s="32"/>
      <c r="CC135" s="9"/>
      <c r="CD135" s="32"/>
      <c r="CE135" s="9">
        <v>120</v>
      </c>
      <c r="CF135" s="7">
        <v>0.54462252676603384</v>
      </c>
      <c r="CG135" s="9">
        <f t="shared" si="193"/>
        <v>5</v>
      </c>
      <c r="CH135" s="38">
        <f>AVERAGE(CG$6:CG135)</f>
        <v>5.083333333333333</v>
      </c>
      <c r="CI135" s="32"/>
      <c r="CJ135" s="9"/>
      <c r="CK135" s="32"/>
      <c r="CL135" s="9">
        <v>120</v>
      </c>
      <c r="CM135" s="7">
        <v>0.59210910397814587</v>
      </c>
      <c r="CN135" s="9">
        <f t="shared" si="194"/>
        <v>5</v>
      </c>
      <c r="CO135" s="38">
        <f>AVERAGE(CN$6:CN135)</f>
        <v>4.7750000000000004</v>
      </c>
      <c r="CP135" s="32"/>
      <c r="CQ135" s="9"/>
      <c r="CR135" s="32"/>
      <c r="CS135" s="9">
        <v>120</v>
      </c>
      <c r="CT135" s="7">
        <v>0.81636072788387537</v>
      </c>
      <c r="CU135" s="9">
        <f t="shared" si="195"/>
        <v>7</v>
      </c>
      <c r="CV135" s="38">
        <f>AVERAGE(CU$6:CU135)</f>
        <v>5.0583333333333336</v>
      </c>
      <c r="CW135" s="32"/>
      <c r="CX135" s="9"/>
      <c r="CY135" s="32"/>
      <c r="CZ135" s="9">
        <v>120</v>
      </c>
      <c r="DA135" s="7">
        <v>0.6284942957572639</v>
      </c>
      <c r="DB135" s="9">
        <f t="shared" si="196"/>
        <v>6</v>
      </c>
      <c r="DC135" s="38">
        <f>AVERAGE(DB$6:DB135)</f>
        <v>5.208333333333333</v>
      </c>
      <c r="DD135" s="32"/>
      <c r="DE135" s="9"/>
      <c r="DF135" s="32"/>
      <c r="DG135" s="9">
        <v>120</v>
      </c>
      <c r="DH135" s="7">
        <v>0.48810336095630191</v>
      </c>
      <c r="DI135" s="9">
        <f t="shared" si="197"/>
        <v>5</v>
      </c>
      <c r="DJ135" s="38">
        <f>AVERAGE(DI$6:DI135)</f>
        <v>5.2416666666666663</v>
      </c>
      <c r="DK135" s="32"/>
      <c r="DL135" s="9"/>
      <c r="DM135" s="32"/>
      <c r="DN135" s="9">
        <v>120</v>
      </c>
      <c r="DO135" s="7">
        <v>0.27397412349819206</v>
      </c>
      <c r="DP135" s="9">
        <f t="shared" si="198"/>
        <v>4</v>
      </c>
      <c r="DQ135" s="38">
        <f>AVERAGE(DP$6:DP135)</f>
        <v>5.1333333333333337</v>
      </c>
      <c r="DR135" s="32"/>
      <c r="DS135" s="9"/>
      <c r="DT135" s="32"/>
      <c r="DU135" s="9">
        <v>120</v>
      </c>
      <c r="DV135" s="7">
        <v>0.81640504742972553</v>
      </c>
      <c r="DW135" s="9">
        <f t="shared" si="199"/>
        <v>7</v>
      </c>
      <c r="DX135" s="38">
        <f>AVERAGE(DW$6:DW135)</f>
        <v>5.0916666666666668</v>
      </c>
      <c r="DY135" s="32"/>
      <c r="DZ135" s="9"/>
      <c r="EA135" s="32"/>
      <c r="EB135" s="9">
        <v>120</v>
      </c>
      <c r="EC135" s="7">
        <v>5.5807011347496882E-2</v>
      </c>
      <c r="ED135" s="9">
        <f t="shared" si="200"/>
        <v>2</v>
      </c>
      <c r="EE135" s="38">
        <f>AVERAGE(ED$6:ED135)</f>
        <v>4.5666666666666664</v>
      </c>
      <c r="EF135" s="32"/>
      <c r="EG135" s="9"/>
      <c r="EH135" s="32"/>
      <c r="EI135" s="9">
        <v>120</v>
      </c>
      <c r="EJ135" s="7">
        <v>0.95581698324531317</v>
      </c>
      <c r="EK135" s="9">
        <f t="shared" si="201"/>
        <v>9</v>
      </c>
      <c r="EL135" s="38">
        <f>AVERAGE(EK$6:EK135)</f>
        <v>5.2333333333333334</v>
      </c>
      <c r="EM135" s="32"/>
      <c r="EN135" s="9"/>
      <c r="EO135" s="32"/>
      <c r="EP135" s="9">
        <v>120</v>
      </c>
      <c r="EQ135" s="7">
        <v>0.88612763516721316</v>
      </c>
      <c r="ER135" s="9">
        <f t="shared" si="202"/>
        <v>8</v>
      </c>
      <c r="ES135" s="38">
        <f>AVERAGE(ER$6:ER135)</f>
        <v>5.15</v>
      </c>
      <c r="ET135" s="32"/>
    </row>
    <row r="136" spans="5:150" x14ac:dyDescent="0.25"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</row>
    <row r="137" spans="5:150" x14ac:dyDescent="0.25">
      <c r="L137" s="9"/>
      <c r="M137" s="9"/>
      <c r="N137" s="9"/>
      <c r="O137" s="25" t="s">
        <v>32</v>
      </c>
      <c r="P137" s="25" t="s">
        <v>35</v>
      </c>
      <c r="Q137" s="26">
        <f>AVERAGE(O16:O135)</f>
        <v>5.0333333333333332</v>
      </c>
      <c r="R137" s="9"/>
      <c r="T137" s="23" t="s">
        <v>32</v>
      </c>
      <c r="U137" s="25" t="s">
        <v>34</v>
      </c>
      <c r="V137" s="26">
        <f>_xlfn.STDEV.S(O16:O135)</f>
        <v>1.8961851722031038</v>
      </c>
      <c r="Y137" s="9"/>
      <c r="Z137" s="9"/>
      <c r="AA137" s="9"/>
      <c r="AB137" s="9"/>
      <c r="AC137" s="9"/>
      <c r="AF137" s="9"/>
      <c r="AG137" s="9"/>
      <c r="AH137" s="9"/>
      <c r="AI137" s="9"/>
      <c r="AJ137" s="9"/>
      <c r="AM137" s="9"/>
      <c r="AN137" s="9"/>
      <c r="AO137" s="9"/>
      <c r="AP137" s="9"/>
      <c r="AQ137" s="9"/>
      <c r="AT137" s="9"/>
      <c r="AU137" s="9"/>
      <c r="AV137" s="9"/>
      <c r="AW137" s="9"/>
      <c r="AX137" s="9"/>
      <c r="BO137" s="9"/>
      <c r="BP137" s="9"/>
      <c r="BQ137" s="9"/>
      <c r="BR137" s="9"/>
      <c r="BS137" s="9"/>
      <c r="CJ137" s="9"/>
      <c r="CK137" s="9"/>
      <c r="CL137" s="9"/>
      <c r="CM137" s="9"/>
      <c r="CN137" s="9"/>
      <c r="DE137" s="9"/>
      <c r="DF137" s="9"/>
      <c r="DG137" s="9"/>
      <c r="DH137" s="9"/>
      <c r="DI137" s="9"/>
      <c r="DZ137" s="9"/>
      <c r="EA137" s="9"/>
      <c r="EB137" s="9"/>
      <c r="EC137" s="9"/>
      <c r="ED137" s="9"/>
    </row>
    <row r="138" spans="5:150" x14ac:dyDescent="0.25">
      <c r="L138" s="9"/>
      <c r="M138" s="9"/>
      <c r="N138" s="9"/>
      <c r="O138" s="25" t="s">
        <v>33</v>
      </c>
      <c r="P138" s="25" t="s">
        <v>35</v>
      </c>
      <c r="Q138" s="26">
        <f>AVERAGE(V16:V135)</f>
        <v>4.958333333333333</v>
      </c>
      <c r="R138" s="9"/>
      <c r="S138" s="9"/>
      <c r="T138" s="23" t="s">
        <v>33</v>
      </c>
      <c r="U138" s="25" t="s">
        <v>34</v>
      </c>
      <c r="V138" s="26">
        <f>_xlfn.STDEV.S(V16:V135)</f>
        <v>2.2803354954893797</v>
      </c>
      <c r="Y138" s="9"/>
      <c r="Z138" s="9"/>
      <c r="AA138" s="9"/>
      <c r="AB138" s="9"/>
      <c r="AC138" s="9"/>
      <c r="AF138" s="9"/>
      <c r="AG138" s="9"/>
      <c r="AH138" s="9"/>
      <c r="AI138" s="9"/>
      <c r="AJ138" s="9"/>
      <c r="AM138" s="9"/>
      <c r="AN138" s="9"/>
      <c r="AO138" s="9"/>
      <c r="AP138" s="9"/>
      <c r="AQ138" s="9"/>
      <c r="AT138" s="9"/>
      <c r="AU138" s="9"/>
      <c r="AV138" s="9"/>
      <c r="AW138" s="9"/>
      <c r="AX138" s="9"/>
      <c r="BO138" s="9"/>
      <c r="BP138" s="9"/>
      <c r="BQ138" s="9"/>
      <c r="BR138" s="9"/>
      <c r="BS138" s="9"/>
      <c r="CJ138" s="9"/>
      <c r="CK138" s="9"/>
      <c r="CL138" s="9"/>
      <c r="CM138" s="9"/>
      <c r="CN138" s="9"/>
      <c r="DE138" s="9"/>
      <c r="DF138" s="9"/>
      <c r="DG138" s="9"/>
      <c r="DH138" s="9"/>
      <c r="DI138" s="9"/>
      <c r="DZ138" s="9"/>
      <c r="EA138" s="9"/>
      <c r="EB138" s="9"/>
      <c r="EC138" s="9"/>
      <c r="ED138" s="9"/>
    </row>
    <row r="139" spans="5:150" x14ac:dyDescent="0.25">
      <c r="O139" s="25" t="s">
        <v>36</v>
      </c>
      <c r="P139" s="25" t="s">
        <v>35</v>
      </c>
      <c r="Q139" s="26">
        <f>AVERAGE(AC16:AC135)</f>
        <v>5.0750000000000002</v>
      </c>
      <c r="T139" s="23" t="s">
        <v>36</v>
      </c>
      <c r="U139" s="25" t="s">
        <v>34</v>
      </c>
      <c r="V139" s="26">
        <f>_xlfn.STDEV.S(AC16:AC135)</f>
        <v>2.3377159721374521</v>
      </c>
    </row>
    <row r="140" spans="5:150" x14ac:dyDescent="0.25">
      <c r="O140" s="25" t="s">
        <v>37</v>
      </c>
      <c r="P140" s="25" t="s">
        <v>35</v>
      </c>
      <c r="Q140" s="26">
        <f>AVERAGE(AJ16:AJ135)</f>
        <v>4.95</v>
      </c>
      <c r="T140" s="23" t="s">
        <v>37</v>
      </c>
      <c r="U140" s="25" t="s">
        <v>34</v>
      </c>
      <c r="V140" s="26">
        <f>_xlfn.STDEV.S(AJ16:AJ135)</f>
        <v>1.9824863431661603</v>
      </c>
    </row>
    <row r="141" spans="5:150" x14ac:dyDescent="0.25">
      <c r="O141" s="25" t="s">
        <v>38</v>
      </c>
      <c r="P141" s="25" t="s">
        <v>35</v>
      </c>
      <c r="Q141" s="26">
        <f>AVERAGE(AQ16:AQ135)</f>
        <v>5.0750000000000002</v>
      </c>
      <c r="T141" s="23" t="s">
        <v>38</v>
      </c>
      <c r="U141" s="25" t="s">
        <v>34</v>
      </c>
      <c r="V141" s="26">
        <f>_xlfn.STDEV.S(AQ16:AQ135)</f>
        <v>2.2941742074475613</v>
      </c>
    </row>
    <row r="142" spans="5:150" x14ac:dyDescent="0.25">
      <c r="O142" s="25" t="s">
        <v>39</v>
      </c>
      <c r="P142" s="25" t="s">
        <v>35</v>
      </c>
      <c r="Q142" s="26">
        <f>AVERAGE(AX16:AX135)</f>
        <v>4.7666666666666666</v>
      </c>
      <c r="T142" s="23" t="s">
        <v>39</v>
      </c>
      <c r="U142" s="25" t="s">
        <v>34</v>
      </c>
      <c r="V142" s="26">
        <f>_xlfn.STDEV.S(AX16:AX135)</f>
        <v>2.1990576030965392</v>
      </c>
    </row>
    <row r="143" spans="5:150" x14ac:dyDescent="0.25">
      <c r="O143" s="25" t="s">
        <v>40</v>
      </c>
      <c r="P143" s="25" t="s">
        <v>35</v>
      </c>
      <c r="Q143" s="26">
        <f>AVERAGE(BE16:BE135)</f>
        <v>4.8416666666666668</v>
      </c>
      <c r="T143" s="23" t="s">
        <v>40</v>
      </c>
      <c r="U143" s="25" t="s">
        <v>34</v>
      </c>
      <c r="V143" s="26">
        <f>_xlfn.STDEV.S(BE16:BE135)</f>
        <v>2.1103818338380944</v>
      </c>
    </row>
    <row r="144" spans="5:150" x14ac:dyDescent="0.25">
      <c r="O144" s="25" t="s">
        <v>41</v>
      </c>
      <c r="P144" s="25" t="s">
        <v>35</v>
      </c>
      <c r="Q144" s="26">
        <f>AVERAGE(BL16:BL135)</f>
        <v>5.1583333333333332</v>
      </c>
      <c r="T144" s="23" t="s">
        <v>41</v>
      </c>
      <c r="U144" s="25" t="s">
        <v>34</v>
      </c>
      <c r="V144" s="26">
        <f>_xlfn.STDEV.S(BL16:BL135)</f>
        <v>2.3514552380801721</v>
      </c>
    </row>
    <row r="145" spans="15:27" x14ac:dyDescent="0.25">
      <c r="O145" s="25" t="s">
        <v>42</v>
      </c>
      <c r="P145" s="25" t="s">
        <v>35</v>
      </c>
      <c r="Q145" s="26">
        <f>AVERAGE(BS16:BS135)</f>
        <v>4.916666666666667</v>
      </c>
      <c r="T145" s="23" t="s">
        <v>42</v>
      </c>
      <c r="U145" s="25" t="s">
        <v>34</v>
      </c>
      <c r="V145" s="26">
        <f>_xlfn.STDEV.S(BS16:BS135)</f>
        <v>2.2625312415627805</v>
      </c>
    </row>
    <row r="146" spans="15:27" x14ac:dyDescent="0.25">
      <c r="O146" s="25" t="s">
        <v>43</v>
      </c>
      <c r="P146" s="25" t="s">
        <v>35</v>
      </c>
      <c r="Q146" s="26">
        <f>AVERAGE(BZ16:BZ135)</f>
        <v>4.9083333333333332</v>
      </c>
      <c r="T146" s="23" t="s">
        <v>43</v>
      </c>
      <c r="U146" s="25" t="s">
        <v>34</v>
      </c>
      <c r="V146" s="26">
        <f>_xlfn.STDEV.S(BZ16:BZ135)</f>
        <v>2.2076864704528876</v>
      </c>
    </row>
    <row r="147" spans="15:27" x14ac:dyDescent="0.25">
      <c r="O147" s="25" t="s">
        <v>44</v>
      </c>
      <c r="P147" s="25" t="s">
        <v>35</v>
      </c>
      <c r="Q147" s="26">
        <f>AVERAGE(CG16:CG135)</f>
        <v>5.083333333333333</v>
      </c>
      <c r="T147" s="23" t="s">
        <v>44</v>
      </c>
      <c r="U147" s="25" t="s">
        <v>34</v>
      </c>
      <c r="V147" s="26">
        <f>_xlfn.STDEV.S(CG16:CG135)</f>
        <v>2.2326203970973242</v>
      </c>
    </row>
    <row r="148" spans="15:27" x14ac:dyDescent="0.25">
      <c r="O148" s="25" t="s">
        <v>45</v>
      </c>
      <c r="P148" s="25" t="s">
        <v>35</v>
      </c>
      <c r="Q148" s="26">
        <f>AVERAGE(CN16:CN135)</f>
        <v>4.7750000000000004</v>
      </c>
      <c r="T148" s="23" t="s">
        <v>45</v>
      </c>
      <c r="U148" s="25" t="s">
        <v>34</v>
      </c>
      <c r="V148" s="26">
        <f>_xlfn.STDEV.S(CN16:CN135)</f>
        <v>2.2731997217116486</v>
      </c>
    </row>
    <row r="149" spans="15:27" x14ac:dyDescent="0.25">
      <c r="O149" s="25" t="s">
        <v>54</v>
      </c>
      <c r="P149" s="25" t="s">
        <v>35</v>
      </c>
      <c r="Q149" s="26">
        <f>AVERAGE(CU16:CU135)</f>
        <v>5.0583333333333336</v>
      </c>
      <c r="T149" s="23" t="s">
        <v>54</v>
      </c>
      <c r="U149" s="25" t="s">
        <v>34</v>
      </c>
      <c r="V149" s="26">
        <f>_xlfn.STDEV.S(CU16:CU135)</f>
        <v>2.1392523367345166</v>
      </c>
    </row>
    <row r="150" spans="15:27" x14ac:dyDescent="0.25">
      <c r="O150" s="25" t="s">
        <v>47</v>
      </c>
      <c r="P150" s="25" t="s">
        <v>35</v>
      </c>
      <c r="Q150" s="26">
        <f>AVERAGE(DB16:DB135)</f>
        <v>5.208333333333333</v>
      </c>
      <c r="T150" s="23" t="s">
        <v>47</v>
      </c>
      <c r="U150" s="25" t="s">
        <v>34</v>
      </c>
      <c r="V150" s="26">
        <f>_xlfn.STDEV.S(DB16:DB135)</f>
        <v>2.2599763266899231</v>
      </c>
    </row>
    <row r="151" spans="15:27" x14ac:dyDescent="0.25">
      <c r="O151" s="25" t="s">
        <v>55</v>
      </c>
      <c r="P151" s="25" t="s">
        <v>35</v>
      </c>
      <c r="Q151" s="26">
        <f>AVERAGE(DI16:DI135)</f>
        <v>5.2416666666666663</v>
      </c>
      <c r="T151" s="23" t="s">
        <v>55</v>
      </c>
      <c r="U151" s="25" t="s">
        <v>34</v>
      </c>
      <c r="V151" s="26">
        <f>_xlfn.STDEV.S(DI16:DI135)</f>
        <v>2.3514552380801721</v>
      </c>
    </row>
    <row r="152" spans="15:27" x14ac:dyDescent="0.25">
      <c r="O152" s="25" t="s">
        <v>49</v>
      </c>
      <c r="P152" s="25" t="s">
        <v>35</v>
      </c>
      <c r="Q152" s="26">
        <f>AVERAGE(DP16:DP135)</f>
        <v>5.1333333333333337</v>
      </c>
      <c r="T152" s="23" t="s">
        <v>49</v>
      </c>
      <c r="U152" s="25" t="s">
        <v>34</v>
      </c>
      <c r="V152" s="26">
        <f>_xlfn.STDEV.S(DP16:DP135)</f>
        <v>2.2563945857519347</v>
      </c>
    </row>
    <row r="153" spans="15:27" x14ac:dyDescent="0.25">
      <c r="O153" s="25" t="s">
        <v>50</v>
      </c>
      <c r="P153" s="25" t="s">
        <v>35</v>
      </c>
      <c r="Q153" s="26">
        <f>AVERAGE(DW16:DW135)</f>
        <v>5.0916666666666668</v>
      </c>
      <c r="T153" s="23" t="s">
        <v>50</v>
      </c>
      <c r="U153" s="25" t="s">
        <v>34</v>
      </c>
      <c r="V153" s="26">
        <f>_xlfn.STDEV.S(DW16:DW135)</f>
        <v>2.2603481301489352</v>
      </c>
    </row>
    <row r="154" spans="15:27" x14ac:dyDescent="0.25">
      <c r="O154" s="25" t="s">
        <v>51</v>
      </c>
      <c r="P154" s="25" t="s">
        <v>35</v>
      </c>
      <c r="Q154" s="26">
        <f>AVERAGE(ED16:ED135)</f>
        <v>4.5666666666666664</v>
      </c>
      <c r="T154" s="23" t="s">
        <v>51</v>
      </c>
      <c r="U154" s="25" t="s">
        <v>34</v>
      </c>
      <c r="V154" s="26">
        <f>_xlfn.STDEV.S(ED16:ED135)</f>
        <v>2.105348664045668</v>
      </c>
    </row>
    <row r="155" spans="15:27" x14ac:dyDescent="0.25">
      <c r="O155" s="25" t="s">
        <v>56</v>
      </c>
      <c r="P155" s="25" t="s">
        <v>35</v>
      </c>
      <c r="Q155" s="26">
        <f>AVERAGE(EK16:EK135)</f>
        <v>5.2333333333333334</v>
      </c>
      <c r="T155" s="23" t="s">
        <v>56</v>
      </c>
      <c r="U155" s="25" t="s">
        <v>34</v>
      </c>
      <c r="V155" s="26">
        <f>_xlfn.STDEV.S(EK16:EK135)</f>
        <v>2.33617274216452</v>
      </c>
    </row>
    <row r="156" spans="15:27" x14ac:dyDescent="0.25">
      <c r="O156" s="25" t="s">
        <v>57</v>
      </c>
      <c r="P156" s="25" t="s">
        <v>35</v>
      </c>
      <c r="Q156" s="26">
        <f>AVERAGE(ER16:ER135)</f>
        <v>5.15</v>
      </c>
      <c r="T156" s="23" t="s">
        <v>57</v>
      </c>
      <c r="U156" s="25" t="s">
        <v>34</v>
      </c>
      <c r="V156" s="26">
        <f>_xlfn.STDEV.S(ER16:ER135)</f>
        <v>2.3892265194712157</v>
      </c>
    </row>
    <row r="158" spans="15:27" x14ac:dyDescent="0.25">
      <c r="O158" s="9"/>
      <c r="P158" s="9"/>
      <c r="Q158" s="9"/>
      <c r="R158" s="9"/>
      <c r="S158" s="9"/>
      <c r="V158" s="9"/>
      <c r="W158" s="9"/>
      <c r="X158" s="9"/>
      <c r="Y158" s="9"/>
      <c r="Z158" s="9"/>
    </row>
    <row r="159" spans="15:27" x14ac:dyDescent="0.25">
      <c r="O159" s="9"/>
      <c r="P159" s="9"/>
      <c r="Q159" s="9"/>
      <c r="R159" s="9"/>
      <c r="S159" s="9"/>
      <c r="V159" s="9"/>
      <c r="W159" s="9"/>
      <c r="X159" s="9"/>
      <c r="Y159" s="9"/>
      <c r="Z159" s="9"/>
    </row>
    <row r="160" spans="15:27" x14ac:dyDescent="0.25">
      <c r="P160" s="9"/>
      <c r="Q160" s="9"/>
      <c r="R160" s="9"/>
      <c r="S160" s="9"/>
      <c r="T160" s="9"/>
      <c r="W160" s="9"/>
      <c r="X160" s="9"/>
      <c r="Y160" s="9"/>
      <c r="Z160" s="9"/>
      <c r="AA160" s="9"/>
    </row>
    <row r="161" spans="10:25" x14ac:dyDescent="0.25">
      <c r="J161" s="9"/>
      <c r="K161" s="9"/>
      <c r="L161" s="9"/>
      <c r="M161" s="9"/>
      <c r="N161" s="9"/>
      <c r="Q161" s="9"/>
      <c r="R161" s="9"/>
      <c r="S161" s="9"/>
      <c r="T161" s="9"/>
      <c r="U161" s="9"/>
      <c r="X161" s="9"/>
      <c r="Y161" s="9"/>
    </row>
    <row r="162" spans="10:25" x14ac:dyDescent="0.25">
      <c r="J162" s="9"/>
      <c r="K162" s="9"/>
      <c r="L162" s="9"/>
      <c r="M162" s="9"/>
      <c r="N162" s="9"/>
      <c r="Q162" s="9"/>
      <c r="R162" s="9"/>
      <c r="S162" s="9"/>
      <c r="T162" s="9"/>
      <c r="U162" s="9"/>
      <c r="X162" s="9"/>
      <c r="Y162" s="9"/>
    </row>
  </sheetData>
  <mergeCells count="621">
    <mergeCell ref="G14:H14"/>
    <mergeCell ref="L16:L23"/>
    <mergeCell ref="Q16:Q23"/>
    <mergeCell ref="L24:L31"/>
    <mergeCell ref="Q24:Q31"/>
    <mergeCell ref="L32:L39"/>
    <mergeCell ref="Q32:Q39"/>
    <mergeCell ref="L120:L127"/>
    <mergeCell ref="Q120:Q127"/>
    <mergeCell ref="L128:L135"/>
    <mergeCell ref="Q128:Q135"/>
    <mergeCell ref="L88:L95"/>
    <mergeCell ref="Q88:Q95"/>
    <mergeCell ref="L96:L103"/>
    <mergeCell ref="Q96:Q103"/>
    <mergeCell ref="L104:L111"/>
    <mergeCell ref="Q104:Q111"/>
    <mergeCell ref="S16:S23"/>
    <mergeCell ref="X16:X23"/>
    <mergeCell ref="S24:S31"/>
    <mergeCell ref="X24:X31"/>
    <mergeCell ref="Z11:AE11"/>
    <mergeCell ref="Z16:Z23"/>
    <mergeCell ref="AE16:AE23"/>
    <mergeCell ref="Z24:Z31"/>
    <mergeCell ref="L112:L119"/>
    <mergeCell ref="Q112:Q119"/>
    <mergeCell ref="L64:L71"/>
    <mergeCell ref="Q64:Q71"/>
    <mergeCell ref="L72:L79"/>
    <mergeCell ref="Q72:Q79"/>
    <mergeCell ref="L80:L87"/>
    <mergeCell ref="Q80:Q87"/>
    <mergeCell ref="L40:L47"/>
    <mergeCell ref="Q40:Q47"/>
    <mergeCell ref="L48:L55"/>
    <mergeCell ref="Q48:Q55"/>
    <mergeCell ref="L56:L63"/>
    <mergeCell ref="Q56:Q63"/>
    <mergeCell ref="S11:X11"/>
    <mergeCell ref="L11:Q11"/>
    <mergeCell ref="S104:S111"/>
    <mergeCell ref="X104:X111"/>
    <mergeCell ref="S112:S119"/>
    <mergeCell ref="X112:X119"/>
    <mergeCell ref="S120:S127"/>
    <mergeCell ref="X120:X127"/>
    <mergeCell ref="S80:S87"/>
    <mergeCell ref="X80:X87"/>
    <mergeCell ref="S88:S95"/>
    <mergeCell ref="X88:X95"/>
    <mergeCell ref="S96:S103"/>
    <mergeCell ref="X96:X103"/>
    <mergeCell ref="S56:S63"/>
    <mergeCell ref="X56:X63"/>
    <mergeCell ref="S64:S71"/>
    <mergeCell ref="X64:X71"/>
    <mergeCell ref="S72:S79"/>
    <mergeCell ref="X72:X79"/>
    <mergeCell ref="S32:S39"/>
    <mergeCell ref="X32:X39"/>
    <mergeCell ref="S40:S47"/>
    <mergeCell ref="X40:X47"/>
    <mergeCell ref="AE24:AE31"/>
    <mergeCell ref="Z32:Z39"/>
    <mergeCell ref="AE32:AE39"/>
    <mergeCell ref="Z40:Z47"/>
    <mergeCell ref="AE40:AE47"/>
    <mergeCell ref="Z48:Z55"/>
    <mergeCell ref="AE48:AE55"/>
    <mergeCell ref="S128:S135"/>
    <mergeCell ref="X128:X135"/>
    <mergeCell ref="S48:S55"/>
    <mergeCell ref="X48:X55"/>
    <mergeCell ref="AE88:AE95"/>
    <mergeCell ref="Z96:Z103"/>
    <mergeCell ref="AE96:AE103"/>
    <mergeCell ref="Z56:Z63"/>
    <mergeCell ref="AE56:AE63"/>
    <mergeCell ref="Z64:Z71"/>
    <mergeCell ref="AE64:AE71"/>
    <mergeCell ref="Z72:Z79"/>
    <mergeCell ref="AE72:AE79"/>
    <mergeCell ref="AL48:AL55"/>
    <mergeCell ref="AG56:AG63"/>
    <mergeCell ref="AL56:AL63"/>
    <mergeCell ref="AG64:AG71"/>
    <mergeCell ref="AL64:AL71"/>
    <mergeCell ref="Z128:Z135"/>
    <mergeCell ref="AE128:AE135"/>
    <mergeCell ref="AG11:AL11"/>
    <mergeCell ref="AG16:AG23"/>
    <mergeCell ref="AL16:AL23"/>
    <mergeCell ref="AG24:AG31"/>
    <mergeCell ref="AL24:AL31"/>
    <mergeCell ref="AG32:AG39"/>
    <mergeCell ref="AL32:AL39"/>
    <mergeCell ref="AG40:AG47"/>
    <mergeCell ref="Z104:Z111"/>
    <mergeCell ref="AE104:AE111"/>
    <mergeCell ref="Z112:Z119"/>
    <mergeCell ref="AE112:AE119"/>
    <mergeCell ref="Z120:Z127"/>
    <mergeCell ref="AE120:AE127"/>
    <mergeCell ref="Z80:Z87"/>
    <mergeCell ref="AE80:AE87"/>
    <mergeCell ref="Z88:Z95"/>
    <mergeCell ref="AG120:AG127"/>
    <mergeCell ref="AL120:AL127"/>
    <mergeCell ref="AG128:AG135"/>
    <mergeCell ref="AL128:AL135"/>
    <mergeCell ref="AN11:AS11"/>
    <mergeCell ref="AN16:AN23"/>
    <mergeCell ref="AS16:AS23"/>
    <mergeCell ref="AN24:AN31"/>
    <mergeCell ref="AS24:AS31"/>
    <mergeCell ref="AN32:AN39"/>
    <mergeCell ref="AG96:AG103"/>
    <mergeCell ref="AL96:AL103"/>
    <mergeCell ref="AG104:AG111"/>
    <mergeCell ref="AL104:AL111"/>
    <mergeCell ref="AG112:AG119"/>
    <mergeCell ref="AL112:AL119"/>
    <mergeCell ref="AG72:AG79"/>
    <mergeCell ref="AL72:AL79"/>
    <mergeCell ref="AG80:AG87"/>
    <mergeCell ref="AL80:AL87"/>
    <mergeCell ref="AG88:AG95"/>
    <mergeCell ref="AL88:AL95"/>
    <mergeCell ref="AL40:AL47"/>
    <mergeCell ref="AG48:AG55"/>
    <mergeCell ref="AN64:AN71"/>
    <mergeCell ref="AS64:AS71"/>
    <mergeCell ref="AN72:AN79"/>
    <mergeCell ref="AS72:AS79"/>
    <mergeCell ref="AN80:AN87"/>
    <mergeCell ref="AS80:AS87"/>
    <mergeCell ref="AS32:AS39"/>
    <mergeCell ref="AN40:AN47"/>
    <mergeCell ref="AS40:AS47"/>
    <mergeCell ref="AN48:AN55"/>
    <mergeCell ref="AS48:AS55"/>
    <mergeCell ref="AN56:AN63"/>
    <mergeCell ref="AS56:AS63"/>
    <mergeCell ref="AN112:AN119"/>
    <mergeCell ref="AS112:AS119"/>
    <mergeCell ref="AN120:AN127"/>
    <mergeCell ref="AS120:AS127"/>
    <mergeCell ref="AN128:AN135"/>
    <mergeCell ref="AS128:AS135"/>
    <mergeCell ref="AN88:AN95"/>
    <mergeCell ref="AS88:AS95"/>
    <mergeCell ref="AN96:AN103"/>
    <mergeCell ref="AS96:AS103"/>
    <mergeCell ref="AN104:AN111"/>
    <mergeCell ref="AS104:AS111"/>
    <mergeCell ref="EA11:EF11"/>
    <mergeCell ref="EH11:EM11"/>
    <mergeCell ref="EO11:ET11"/>
    <mergeCell ref="AU16:AU23"/>
    <mergeCell ref="AZ16:AZ23"/>
    <mergeCell ref="AU24:AU31"/>
    <mergeCell ref="AZ24:AZ31"/>
    <mergeCell ref="BP16:BP23"/>
    <mergeCell ref="BU16:BU23"/>
    <mergeCell ref="BP24:BP31"/>
    <mergeCell ref="CK11:CP11"/>
    <mergeCell ref="CR11:CW11"/>
    <mergeCell ref="CY11:DD11"/>
    <mergeCell ref="DF11:DK11"/>
    <mergeCell ref="DM11:DR11"/>
    <mergeCell ref="DT11:DY11"/>
    <mergeCell ref="AU11:AZ11"/>
    <mergeCell ref="BB11:BG11"/>
    <mergeCell ref="BI11:BN11"/>
    <mergeCell ref="BP11:BU11"/>
    <mergeCell ref="BW11:CB11"/>
    <mergeCell ref="CD11:CI11"/>
    <mergeCell ref="AU96:AU103"/>
    <mergeCell ref="AZ96:AZ103"/>
    <mergeCell ref="AU56:AU63"/>
    <mergeCell ref="AZ56:AZ63"/>
    <mergeCell ref="AU64:AU71"/>
    <mergeCell ref="AZ64:AZ71"/>
    <mergeCell ref="AU72:AU79"/>
    <mergeCell ref="AZ72:AZ79"/>
    <mergeCell ref="AU32:AU39"/>
    <mergeCell ref="AZ32:AZ39"/>
    <mergeCell ref="AU40:AU47"/>
    <mergeCell ref="AZ40:AZ47"/>
    <mergeCell ref="AU48:AU55"/>
    <mergeCell ref="AZ48:AZ55"/>
    <mergeCell ref="BB56:BB63"/>
    <mergeCell ref="BG56:BG63"/>
    <mergeCell ref="BB64:BB71"/>
    <mergeCell ref="BG64:BG71"/>
    <mergeCell ref="AU128:AU135"/>
    <mergeCell ref="AZ128:AZ135"/>
    <mergeCell ref="BB16:BB23"/>
    <mergeCell ref="BG16:BG23"/>
    <mergeCell ref="BB24:BB31"/>
    <mergeCell ref="BG24:BG31"/>
    <mergeCell ref="BB32:BB39"/>
    <mergeCell ref="BG32:BG39"/>
    <mergeCell ref="BB40:BB47"/>
    <mergeCell ref="BG40:BG47"/>
    <mergeCell ref="AU104:AU111"/>
    <mergeCell ref="AZ104:AZ111"/>
    <mergeCell ref="AU112:AU119"/>
    <mergeCell ref="AZ112:AZ119"/>
    <mergeCell ref="AU120:AU127"/>
    <mergeCell ref="AZ120:AZ127"/>
    <mergeCell ref="AU80:AU87"/>
    <mergeCell ref="AZ80:AZ87"/>
    <mergeCell ref="AU88:AU95"/>
    <mergeCell ref="AZ88:AZ95"/>
    <mergeCell ref="BB120:BB127"/>
    <mergeCell ref="BG120:BG127"/>
    <mergeCell ref="BB128:BB135"/>
    <mergeCell ref="BG128:BG135"/>
    <mergeCell ref="BI16:BI23"/>
    <mergeCell ref="BN16:BN23"/>
    <mergeCell ref="BI24:BI31"/>
    <mergeCell ref="BN24:BN31"/>
    <mergeCell ref="BI32:BI39"/>
    <mergeCell ref="BN32:BN39"/>
    <mergeCell ref="BB96:BB103"/>
    <mergeCell ref="BG96:BG103"/>
    <mergeCell ref="BB104:BB111"/>
    <mergeCell ref="BG104:BG111"/>
    <mergeCell ref="BB112:BB119"/>
    <mergeCell ref="BG112:BG119"/>
    <mergeCell ref="BB72:BB79"/>
    <mergeCell ref="BG72:BG79"/>
    <mergeCell ref="BB80:BB87"/>
    <mergeCell ref="BG80:BG87"/>
    <mergeCell ref="BB88:BB95"/>
    <mergeCell ref="BG88:BG95"/>
    <mergeCell ref="BB48:BB55"/>
    <mergeCell ref="BG48:BG55"/>
    <mergeCell ref="BI64:BI71"/>
    <mergeCell ref="BN64:BN71"/>
    <mergeCell ref="BI72:BI79"/>
    <mergeCell ref="BN72:BN79"/>
    <mergeCell ref="BI80:BI87"/>
    <mergeCell ref="BN80:BN87"/>
    <mergeCell ref="BI40:BI47"/>
    <mergeCell ref="BN40:BN47"/>
    <mergeCell ref="BI48:BI55"/>
    <mergeCell ref="BN48:BN55"/>
    <mergeCell ref="BI56:BI63"/>
    <mergeCell ref="BN56:BN63"/>
    <mergeCell ref="BI112:BI119"/>
    <mergeCell ref="BN112:BN119"/>
    <mergeCell ref="BI120:BI127"/>
    <mergeCell ref="BN120:BN127"/>
    <mergeCell ref="BI128:BI135"/>
    <mergeCell ref="BN128:BN135"/>
    <mergeCell ref="BI88:BI95"/>
    <mergeCell ref="BN88:BN95"/>
    <mergeCell ref="BI96:BI103"/>
    <mergeCell ref="BN96:BN103"/>
    <mergeCell ref="BI104:BI111"/>
    <mergeCell ref="BN104:BN111"/>
    <mergeCell ref="BP96:BP103"/>
    <mergeCell ref="BU96:BU103"/>
    <mergeCell ref="BP56:BP63"/>
    <mergeCell ref="BU56:BU63"/>
    <mergeCell ref="BP64:BP71"/>
    <mergeCell ref="BU64:BU71"/>
    <mergeCell ref="BP72:BP79"/>
    <mergeCell ref="BU72:BU79"/>
    <mergeCell ref="BU24:BU31"/>
    <mergeCell ref="BP32:BP39"/>
    <mergeCell ref="BU32:BU39"/>
    <mergeCell ref="BP40:BP47"/>
    <mergeCell ref="BU40:BU47"/>
    <mergeCell ref="BP48:BP55"/>
    <mergeCell ref="BU48:BU55"/>
    <mergeCell ref="BW56:BW63"/>
    <mergeCell ref="CB56:CB63"/>
    <mergeCell ref="BW64:BW71"/>
    <mergeCell ref="CB64:CB71"/>
    <mergeCell ref="BP128:BP135"/>
    <mergeCell ref="BU128:BU135"/>
    <mergeCell ref="BW16:BW23"/>
    <mergeCell ref="CB16:CB23"/>
    <mergeCell ref="BW24:BW31"/>
    <mergeCell ref="CB24:CB31"/>
    <mergeCell ref="BW32:BW39"/>
    <mergeCell ref="CB32:CB39"/>
    <mergeCell ref="BW40:BW47"/>
    <mergeCell ref="CB40:CB47"/>
    <mergeCell ref="BP104:BP111"/>
    <mergeCell ref="BU104:BU111"/>
    <mergeCell ref="BP112:BP119"/>
    <mergeCell ref="BU112:BU119"/>
    <mergeCell ref="BP120:BP127"/>
    <mergeCell ref="BU120:BU127"/>
    <mergeCell ref="BP80:BP87"/>
    <mergeCell ref="BU80:BU87"/>
    <mergeCell ref="BP88:BP95"/>
    <mergeCell ref="BU88:BU95"/>
    <mergeCell ref="BW120:BW127"/>
    <mergeCell ref="CB120:CB127"/>
    <mergeCell ref="BW128:BW135"/>
    <mergeCell ref="CB128:CB135"/>
    <mergeCell ref="CD16:CD23"/>
    <mergeCell ref="CI16:CI23"/>
    <mergeCell ref="CD24:CD31"/>
    <mergeCell ref="CI24:CI31"/>
    <mergeCell ref="CD32:CD39"/>
    <mergeCell ref="CI32:CI39"/>
    <mergeCell ref="BW96:BW103"/>
    <mergeCell ref="CB96:CB103"/>
    <mergeCell ref="BW104:BW111"/>
    <mergeCell ref="CB104:CB111"/>
    <mergeCell ref="BW112:BW119"/>
    <mergeCell ref="CB112:CB119"/>
    <mergeCell ref="BW72:BW79"/>
    <mergeCell ref="CB72:CB79"/>
    <mergeCell ref="BW80:BW87"/>
    <mergeCell ref="CB80:CB87"/>
    <mergeCell ref="BW88:BW95"/>
    <mergeCell ref="CB88:CB95"/>
    <mergeCell ref="BW48:BW55"/>
    <mergeCell ref="CB48:CB55"/>
    <mergeCell ref="CD128:CD135"/>
    <mergeCell ref="CI128:CI135"/>
    <mergeCell ref="CD88:CD95"/>
    <mergeCell ref="CI88:CI95"/>
    <mergeCell ref="CD96:CD103"/>
    <mergeCell ref="CI96:CI103"/>
    <mergeCell ref="CD104:CD111"/>
    <mergeCell ref="CI104:CI111"/>
    <mergeCell ref="CD64:CD71"/>
    <mergeCell ref="CI64:CI71"/>
    <mergeCell ref="CD72:CD79"/>
    <mergeCell ref="CI72:CI79"/>
    <mergeCell ref="CD80:CD87"/>
    <mergeCell ref="CI80:CI87"/>
    <mergeCell ref="CK16:CK23"/>
    <mergeCell ref="CP16:CP23"/>
    <mergeCell ref="CK24:CK31"/>
    <mergeCell ref="CP24:CP31"/>
    <mergeCell ref="CK32:CK39"/>
    <mergeCell ref="CP32:CP39"/>
    <mergeCell ref="CD112:CD119"/>
    <mergeCell ref="CI112:CI119"/>
    <mergeCell ref="CD120:CD127"/>
    <mergeCell ref="CI120:CI127"/>
    <mergeCell ref="CD40:CD47"/>
    <mergeCell ref="CI40:CI47"/>
    <mergeCell ref="CD48:CD55"/>
    <mergeCell ref="CI48:CI55"/>
    <mergeCell ref="CD56:CD63"/>
    <mergeCell ref="CI56:CI63"/>
    <mergeCell ref="CK64:CK71"/>
    <mergeCell ref="CP64:CP71"/>
    <mergeCell ref="CK72:CK79"/>
    <mergeCell ref="CP72:CP79"/>
    <mergeCell ref="CK80:CK87"/>
    <mergeCell ref="CP80:CP87"/>
    <mergeCell ref="CK40:CK47"/>
    <mergeCell ref="CP40:CP47"/>
    <mergeCell ref="CK48:CK55"/>
    <mergeCell ref="CP48:CP55"/>
    <mergeCell ref="CK56:CK63"/>
    <mergeCell ref="CP56:CP63"/>
    <mergeCell ref="CK112:CK119"/>
    <mergeCell ref="CP112:CP119"/>
    <mergeCell ref="CK120:CK127"/>
    <mergeCell ref="CP120:CP127"/>
    <mergeCell ref="CK128:CK135"/>
    <mergeCell ref="CP128:CP135"/>
    <mergeCell ref="CK88:CK95"/>
    <mergeCell ref="CP88:CP95"/>
    <mergeCell ref="CK96:CK103"/>
    <mergeCell ref="CP96:CP103"/>
    <mergeCell ref="CK104:CK111"/>
    <mergeCell ref="CP104:CP111"/>
    <mergeCell ref="CR128:CR135"/>
    <mergeCell ref="CW128:CW135"/>
    <mergeCell ref="CR88:CR95"/>
    <mergeCell ref="CW88:CW95"/>
    <mergeCell ref="CR96:CR103"/>
    <mergeCell ref="CW96:CW103"/>
    <mergeCell ref="CR104:CR111"/>
    <mergeCell ref="CW104:CW111"/>
    <mergeCell ref="CR64:CR71"/>
    <mergeCell ref="CW64:CW71"/>
    <mergeCell ref="CR72:CR79"/>
    <mergeCell ref="CW72:CW79"/>
    <mergeCell ref="CR80:CR87"/>
    <mergeCell ref="CW80:CW87"/>
    <mergeCell ref="CY16:CY23"/>
    <mergeCell ref="DD16:DD23"/>
    <mergeCell ref="CY24:CY31"/>
    <mergeCell ref="DD24:DD31"/>
    <mergeCell ref="CY32:CY39"/>
    <mergeCell ref="DD32:DD39"/>
    <mergeCell ref="CR112:CR119"/>
    <mergeCell ref="CW112:CW119"/>
    <mergeCell ref="CR120:CR127"/>
    <mergeCell ref="CW120:CW127"/>
    <mergeCell ref="CR40:CR47"/>
    <mergeCell ref="CW40:CW47"/>
    <mergeCell ref="CR48:CR55"/>
    <mergeCell ref="CW48:CW55"/>
    <mergeCell ref="CR56:CR63"/>
    <mergeCell ref="CW56:CW63"/>
    <mergeCell ref="CR16:CR23"/>
    <mergeCell ref="CW16:CW23"/>
    <mergeCell ref="CR24:CR31"/>
    <mergeCell ref="CW24:CW31"/>
    <mergeCell ref="CR32:CR39"/>
    <mergeCell ref="CW32:CW39"/>
    <mergeCell ref="CY64:CY71"/>
    <mergeCell ref="DD64:DD71"/>
    <mergeCell ref="CY72:CY79"/>
    <mergeCell ref="DD72:DD79"/>
    <mergeCell ref="CY80:CY87"/>
    <mergeCell ref="DD80:DD87"/>
    <mergeCell ref="CY40:CY47"/>
    <mergeCell ref="DD40:DD47"/>
    <mergeCell ref="CY48:CY55"/>
    <mergeCell ref="DD48:DD55"/>
    <mergeCell ref="CY56:CY63"/>
    <mergeCell ref="DD56:DD63"/>
    <mergeCell ref="CY112:CY119"/>
    <mergeCell ref="DD112:DD119"/>
    <mergeCell ref="CY120:CY127"/>
    <mergeCell ref="DD120:DD127"/>
    <mergeCell ref="CY128:CY135"/>
    <mergeCell ref="DD128:DD135"/>
    <mergeCell ref="CY88:CY95"/>
    <mergeCell ref="DD88:DD95"/>
    <mergeCell ref="CY96:CY103"/>
    <mergeCell ref="DD96:DD103"/>
    <mergeCell ref="CY104:CY111"/>
    <mergeCell ref="DD104:DD111"/>
    <mergeCell ref="DF128:DF135"/>
    <mergeCell ref="DK128:DK135"/>
    <mergeCell ref="DF88:DF95"/>
    <mergeCell ref="DK88:DK95"/>
    <mergeCell ref="DF96:DF103"/>
    <mergeCell ref="DK96:DK103"/>
    <mergeCell ref="DF104:DF111"/>
    <mergeCell ref="DK104:DK111"/>
    <mergeCell ref="DF64:DF71"/>
    <mergeCell ref="DK64:DK71"/>
    <mergeCell ref="DF72:DF79"/>
    <mergeCell ref="DK72:DK79"/>
    <mergeCell ref="DF80:DF87"/>
    <mergeCell ref="DK80:DK87"/>
    <mergeCell ref="DM16:DM23"/>
    <mergeCell ref="DR16:DR23"/>
    <mergeCell ref="DM24:DM31"/>
    <mergeCell ref="DR24:DR31"/>
    <mergeCell ref="DM32:DM39"/>
    <mergeCell ref="DR32:DR39"/>
    <mergeCell ref="DF112:DF119"/>
    <mergeCell ref="DK112:DK119"/>
    <mergeCell ref="DF120:DF127"/>
    <mergeCell ref="DK120:DK127"/>
    <mergeCell ref="DF40:DF47"/>
    <mergeCell ref="DK40:DK47"/>
    <mergeCell ref="DF48:DF55"/>
    <mergeCell ref="DK48:DK55"/>
    <mergeCell ref="DF56:DF63"/>
    <mergeCell ref="DK56:DK63"/>
    <mergeCell ref="DF16:DF23"/>
    <mergeCell ref="DK16:DK23"/>
    <mergeCell ref="DF24:DF31"/>
    <mergeCell ref="DK24:DK31"/>
    <mergeCell ref="DF32:DF39"/>
    <mergeCell ref="DK32:DK39"/>
    <mergeCell ref="DM64:DM71"/>
    <mergeCell ref="DR64:DR71"/>
    <mergeCell ref="DM72:DM79"/>
    <mergeCell ref="DR72:DR79"/>
    <mergeCell ref="DM80:DM87"/>
    <mergeCell ref="DR80:DR87"/>
    <mergeCell ref="DM40:DM47"/>
    <mergeCell ref="DR40:DR47"/>
    <mergeCell ref="DM48:DM55"/>
    <mergeCell ref="DR48:DR55"/>
    <mergeCell ref="DM56:DM63"/>
    <mergeCell ref="DR56:DR63"/>
    <mergeCell ref="DM112:DM119"/>
    <mergeCell ref="DR112:DR119"/>
    <mergeCell ref="DM120:DM127"/>
    <mergeCell ref="DR120:DR127"/>
    <mergeCell ref="DM128:DM135"/>
    <mergeCell ref="DR128:DR135"/>
    <mergeCell ref="DM88:DM95"/>
    <mergeCell ref="DR88:DR95"/>
    <mergeCell ref="DM96:DM103"/>
    <mergeCell ref="DR96:DR103"/>
    <mergeCell ref="DM104:DM111"/>
    <mergeCell ref="DR104:DR111"/>
    <mergeCell ref="DT128:DT135"/>
    <mergeCell ref="DY128:DY135"/>
    <mergeCell ref="DT88:DT95"/>
    <mergeCell ref="DY88:DY95"/>
    <mergeCell ref="DT96:DT103"/>
    <mergeCell ref="DY96:DY103"/>
    <mergeCell ref="DT104:DT111"/>
    <mergeCell ref="DY104:DY111"/>
    <mergeCell ref="DT64:DT71"/>
    <mergeCell ref="DY64:DY71"/>
    <mergeCell ref="DT72:DT79"/>
    <mergeCell ref="DY72:DY79"/>
    <mergeCell ref="DT80:DT87"/>
    <mergeCell ref="DY80:DY87"/>
    <mergeCell ref="EA16:EA23"/>
    <mergeCell ref="EF16:EF23"/>
    <mergeCell ref="EA24:EA31"/>
    <mergeCell ref="EF24:EF31"/>
    <mergeCell ref="EA32:EA39"/>
    <mergeCell ref="EF32:EF39"/>
    <mergeCell ref="DT112:DT119"/>
    <mergeCell ref="DY112:DY119"/>
    <mergeCell ref="DT120:DT127"/>
    <mergeCell ref="DY120:DY127"/>
    <mergeCell ref="DT40:DT47"/>
    <mergeCell ref="DY40:DY47"/>
    <mergeCell ref="DT48:DT55"/>
    <mergeCell ref="DY48:DY55"/>
    <mergeCell ref="DT56:DT63"/>
    <mergeCell ref="DY56:DY63"/>
    <mergeCell ref="DT16:DT23"/>
    <mergeCell ref="DY16:DY23"/>
    <mergeCell ref="DT24:DT31"/>
    <mergeCell ref="DY24:DY31"/>
    <mergeCell ref="DT32:DT39"/>
    <mergeCell ref="DY32:DY39"/>
    <mergeCell ref="EA64:EA71"/>
    <mergeCell ref="EF64:EF71"/>
    <mergeCell ref="EA72:EA79"/>
    <mergeCell ref="EF72:EF79"/>
    <mergeCell ref="EA80:EA87"/>
    <mergeCell ref="EF80:EF87"/>
    <mergeCell ref="EA40:EA47"/>
    <mergeCell ref="EF40:EF47"/>
    <mergeCell ref="EA48:EA55"/>
    <mergeCell ref="EF48:EF55"/>
    <mergeCell ref="EA56:EA63"/>
    <mergeCell ref="EF56:EF63"/>
    <mergeCell ref="EA112:EA119"/>
    <mergeCell ref="EF112:EF119"/>
    <mergeCell ref="EA120:EA127"/>
    <mergeCell ref="EF120:EF127"/>
    <mergeCell ref="EA128:EA135"/>
    <mergeCell ref="EF128:EF135"/>
    <mergeCell ref="EA88:EA95"/>
    <mergeCell ref="EF88:EF95"/>
    <mergeCell ref="EA96:EA103"/>
    <mergeCell ref="EF96:EF103"/>
    <mergeCell ref="EA104:EA111"/>
    <mergeCell ref="EF104:EF111"/>
    <mergeCell ref="EH128:EH135"/>
    <mergeCell ref="EM128:EM135"/>
    <mergeCell ref="EH88:EH95"/>
    <mergeCell ref="EM88:EM95"/>
    <mergeCell ref="EH96:EH103"/>
    <mergeCell ref="EM96:EM103"/>
    <mergeCell ref="EH104:EH111"/>
    <mergeCell ref="EM104:EM111"/>
    <mergeCell ref="EH64:EH71"/>
    <mergeCell ref="EM64:EM71"/>
    <mergeCell ref="EH72:EH79"/>
    <mergeCell ref="EM72:EM79"/>
    <mergeCell ref="EH80:EH87"/>
    <mergeCell ref="EM80:EM87"/>
    <mergeCell ref="EO16:EO23"/>
    <mergeCell ref="ET16:ET23"/>
    <mergeCell ref="EO24:EO31"/>
    <mergeCell ref="ET24:ET31"/>
    <mergeCell ref="EO32:EO39"/>
    <mergeCell ref="ET32:ET39"/>
    <mergeCell ref="EH112:EH119"/>
    <mergeCell ref="EM112:EM119"/>
    <mergeCell ref="EH120:EH127"/>
    <mergeCell ref="EM120:EM127"/>
    <mergeCell ref="EH40:EH47"/>
    <mergeCell ref="EM40:EM47"/>
    <mergeCell ref="EH48:EH55"/>
    <mergeCell ref="EM48:EM55"/>
    <mergeCell ref="EH56:EH63"/>
    <mergeCell ref="EM56:EM63"/>
    <mergeCell ref="EH16:EH23"/>
    <mergeCell ref="EM16:EM23"/>
    <mergeCell ref="EH24:EH31"/>
    <mergeCell ref="EM24:EM31"/>
    <mergeCell ref="EH32:EH39"/>
    <mergeCell ref="EM32:EM39"/>
    <mergeCell ref="EO64:EO71"/>
    <mergeCell ref="ET64:ET71"/>
    <mergeCell ref="EO72:EO79"/>
    <mergeCell ref="ET72:ET79"/>
    <mergeCell ref="EO80:EO87"/>
    <mergeCell ref="ET80:ET87"/>
    <mergeCell ref="EO40:EO47"/>
    <mergeCell ref="ET40:ET47"/>
    <mergeCell ref="EO48:EO55"/>
    <mergeCell ref="ET48:ET55"/>
    <mergeCell ref="EO56:EO63"/>
    <mergeCell ref="ET56:ET63"/>
    <mergeCell ref="EO112:EO119"/>
    <mergeCell ref="ET112:ET119"/>
    <mergeCell ref="EO120:EO127"/>
    <mergeCell ref="ET120:ET127"/>
    <mergeCell ref="EO128:EO135"/>
    <mergeCell ref="ET128:ET135"/>
    <mergeCell ref="EO88:EO95"/>
    <mergeCell ref="ET88:ET95"/>
    <mergeCell ref="EO96:EO103"/>
    <mergeCell ref="ET96:ET103"/>
    <mergeCell ref="EO104:EO111"/>
    <mergeCell ref="ET104:ET1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generador de Ri</vt:lpstr>
      <vt:lpstr>Replicas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ALUMNO#;Dario Restrepo Landazury</dc:creator>
  <cp:lastModifiedBy>DELL</cp:lastModifiedBy>
  <dcterms:created xsi:type="dcterms:W3CDTF">2025-10-24T23:35:46Z</dcterms:created>
  <dcterms:modified xsi:type="dcterms:W3CDTF">2025-11-13T23:04:52Z</dcterms:modified>
</cp:coreProperties>
</file>